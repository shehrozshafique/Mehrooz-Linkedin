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Content Calendar" sheetId="2" state="visible" r:id="rId4"/>
    <sheet name="Prompt Templates" sheetId="3" state="visible" r:id="rId5"/>
    <sheet name="Weekly Plan" sheetId="4" state="visible" r:id="rId6"/>
    <sheet name="Monthly Themes" sheetId="5" state="visible" r:id="rId7"/>
    <sheet name="Cross-Post Guide" sheetId="6" state="visible" r:id="rId8"/>
    <sheet name="Keyword &amp; Hashtag Bank" sheetId="7" state="visible" r:id="rId9"/>
    <sheet name="Freebies Tracker" sheetId="8" state="visible" r:id="rId10"/>
  </sheets>
  <definedNames>
    <definedName function="false" hidden="true" localSheetId="1" name="_xlnm._FilterDatabase" vbProcedure="false">'Content Calendar'!$A$4:$AI$134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<sst xmlns="http://schemas.openxmlformats.org/spreadsheetml/2006/main" count="4903" uniqueCount="2364">
  <si>
    <t xml:space="preserve">Social Media Plan — Muhammad Mehrooz Shafique | Permanent SEO</t>
  </si>
  <si>
    <t xml:space="preserve">6-month content calendar (Nov 2026 – Apr 2027) · LinkedIn + Instagram primary · cross-post to X, Facebook, YouTube, Reddit</t>
  </si>
  <si>
    <t xml:space="preserve">Brand</t>
  </si>
  <si>
    <t xml:space="preserve">Name on posts</t>
  </si>
  <si>
    <t xml:space="preserve">Muhammad Mehrooz Shafique</t>
  </si>
  <si>
    <t xml:space="preserve">Title</t>
  </si>
  <si>
    <t xml:space="preserve">SEO Expert · Co-Founder, Permanent SEO</t>
  </si>
  <si>
    <t xml:space="preserve">Audience</t>
  </si>
  <si>
    <t xml:space="preserve">E-commerce brands (Shopify, WooCommerce, online stores)</t>
  </si>
  <si>
    <t xml:space="preserve">Tone</t>
  </si>
  <si>
    <t xml:space="preserve">Confident expert. Short sentences. No fluff, no hype words, no invented stats.</t>
  </si>
  <si>
    <t xml:space="preserve">Brand lead</t>
  </si>
  <si>
    <t xml:space="preserve">Personal brand first; Permanent SEO credited on every post (logo + name tag).</t>
  </si>
  <si>
    <t xml:space="preserve">Call to action</t>
  </si>
  <si>
    <t xml:space="preserve">Every post: Comment "KEYWORD" → send that post's freebie by DM. Keyword changes per post.</t>
  </si>
  <si>
    <t xml:space="preserve">Colours</t>
  </si>
  <si>
    <t xml:space="preserve">Primary blue</t>
  </si>
  <si>
    <t xml:space="preserve">#1566D7  (your final brand blue — buttons, highlights, key words)</t>
  </si>
  <si>
    <t xml:space="preserve">Logo blue (gradient top)</t>
  </si>
  <si>
    <t xml:space="preserve">#345DF5</t>
  </si>
  <si>
    <t xml:space="preserve">Deep navy (gradient bottom / text)</t>
  </si>
  <si>
    <t xml:space="preserve">#191A46</t>
  </si>
  <si>
    <t xml:space="preserve">Mid blue</t>
  </si>
  <si>
    <t xml:space="preserve">#2B43B1</t>
  </si>
  <si>
    <t xml:space="preserve">Light background</t>
  </si>
  <si>
    <t xml:space="preserve">#F4F7FD</t>
  </si>
  <si>
    <t xml:space="preserve">White / Ink</t>
  </si>
  <si>
    <t xml:space="preserve">#FFFFFF / #0B0F1F</t>
  </si>
  <si>
    <t xml:space="preserve">Typography</t>
  </si>
  <si>
    <t xml:space="preserve">Headlines</t>
  </si>
  <si>
    <t xml:space="preserve">Bebas Neue or Anton (condensed, high impact, ALL CAPS)</t>
  </si>
  <si>
    <t xml:space="preserve">Body</t>
  </si>
  <si>
    <t xml:space="preserve">Inter (Regular/SemiBold)</t>
  </si>
  <si>
    <t xml:space="preserve">Photo use</t>
  </si>
  <si>
    <t xml:space="preserve">Small circular headshot avatar + name tag bottom-left; logo bottom-right</t>
  </si>
  <si>
    <t xml:space="preserve">Visual styles</t>
  </si>
  <si>
    <t xml:space="preserve">LinkedIn image &amp; slides</t>
  </si>
  <si>
    <t xml:space="preserve">Light editorial: off-white background, navy text, blue accents, data charts, UI mockups, guide-cover layouts</t>
  </si>
  <si>
    <t xml:space="preserve">Instagram posts &amp; slides</t>
  </si>
  <si>
    <t xml:space="preserve">Bold creator: #345DF5 → #191A46 gradient, giant white condensed headline, blue highlights</t>
  </si>
  <si>
    <t xml:space="preserve">Reels</t>
  </si>
  <si>
    <t xml:space="preserve">Monochrome studio + 3D objects + kinetic text, one blue accent, calm deep male voiceover (Solution-Wagon-style reference)</t>
  </si>
  <si>
    <t xml:space="preserve">Long videos</t>
  </si>
  <si>
    <t xml:space="preserve">Bright motion-graphics explainer with UI mockups, blue key words (BlogSEO-style reference)</t>
  </si>
  <si>
    <t xml:space="preserve">Plan at a glance (live counts)</t>
  </si>
  <si>
    <t xml:space="preserve">Metric</t>
  </si>
  <si>
    <t xml:space="preserve">Value</t>
  </si>
  <si>
    <t xml:space="preserve">Total posting days</t>
  </si>
  <si>
    <t xml:space="preserve">Slide posts (Mon)</t>
  </si>
  <si>
    <t xml:space="preserve">Image posts (Tue/Fri)</t>
  </si>
  <si>
    <t xml:space="preserve">Reels (Wed)</t>
  </si>
  <si>
    <t xml:space="preserve">Long videos (Thu)</t>
  </si>
  <si>
    <t xml:space="preserve">Posted so far</t>
  </si>
  <si>
    <t xml:space="preserve">Scheduled</t>
  </si>
  <si>
    <t xml:space="preserve">Progress</t>
  </si>
  <si>
    <t xml:space="preserve">How to use</t>
  </si>
  <si>
    <t xml:space="preserve">1. Open 'Content Calendar'. Each row = one posting day (Mon–Fri, 5x/week).</t>
  </si>
  <si>
    <t xml:space="preserve">2. Copy 'LinkedIn Visual/Video Prompt' or 'Instagram Visual/Video Prompt' into your image/video AI tool (Canva, Higgsfield, Midjourney, Nano Banana, Kling, etc.). Upload your headshot + logo as references.</t>
  </si>
  <si>
    <t xml:space="preserve">3. Copy the caption columns as-is. Hashtags are already at the end of each caption (also listed separately).</t>
  </si>
  <si>
    <t xml:space="preserve">4. Cross-post using the X / Facebook / YouTube / Reddit columns on the same row.</t>
  </si>
  <si>
    <t xml:space="preserve">5. Prepare the freebie listed in 'Freebies Tracker' BEFORE the post goes live; DM it to everyone who comments the keyword.</t>
  </si>
  <si>
    <t xml:space="preserve">6. Replace every [PLACEHOLDER] (client results, your data) with real numbers. Never publish a placeholder.</t>
  </si>
  <si>
    <t xml:space="preserve">7. Update 'Status' (dropdown) — the counts above update automatically.</t>
  </si>
  <si>
    <t xml:space="preserve">8. Need a new post? Use 'Prompt Templates' column C (writing) then column D (visual).</t>
  </si>
  <si>
    <t xml:space="preserve">Legend: editable cells = Status and Posted URL / Notes (yellow headers) on the calendar. Row colours: blue = Slide, white = Post, green = Reel, orange = Long video.</t>
  </si>
  <si>
    <t xml:space="preserve">Content Calendar — Nov 2026 to Apr 2027 (5 posts/week)</t>
  </si>
  <si>
    <t xml:space="preserve">Captions are ready to post. Replace [placeholders] before publishing. Times are UK time — starting points to test.</t>
  </si>
  <si>
    <t xml:space="preserve">#</t>
  </si>
  <si>
    <t xml:space="preserve">Date</t>
  </si>
  <si>
    <t xml:space="preserve">Day</t>
  </si>
  <si>
    <t xml:space="preserve">Week</t>
  </si>
  <si>
    <t xml:space="preserve">Month</t>
  </si>
  <si>
    <t xml:space="preserve">Monthly Theme</t>
  </si>
  <si>
    <t xml:space="preserve">Pillar</t>
  </si>
  <si>
    <t xml:space="preserve">Format</t>
  </si>
  <si>
    <t xml:space="preserve">LinkedIn Format</t>
  </si>
  <si>
    <t xml:space="preserve">Instagram Format</t>
  </si>
  <si>
    <t xml:space="preserve">Topic</t>
  </si>
  <si>
    <t xml:space="preserve">Hook / Cover Headline</t>
  </si>
  <si>
    <t xml:space="preserve">Primary Keyword</t>
  </si>
  <si>
    <t xml:space="preserve">Secondary Keywords</t>
  </si>
  <si>
    <t xml:space="preserve">LinkedIn Caption (ready)</t>
  </si>
  <si>
    <t xml:space="preserve">LinkedIn Hashtags</t>
  </si>
  <si>
    <t xml:space="preserve">Instagram Caption (ready)</t>
  </si>
  <si>
    <t xml:space="preserve">Instagram Hashtags</t>
  </si>
  <si>
    <t xml:space="preserve">Production Brief (slides / script)</t>
  </si>
  <si>
    <t xml:space="preserve">LinkedIn Visual/Video Prompt (ready)</t>
  </si>
  <si>
    <t xml:space="preserve">Instagram Visual/Video Prompt (ready)</t>
  </si>
  <si>
    <t xml:space="preserve">Comment Keyword</t>
  </si>
  <si>
    <t xml:space="preserve">Freebie</t>
  </si>
  <si>
    <t xml:space="preserve">X Post / Thread</t>
  </si>
  <si>
    <t xml:space="preserve">Facebook</t>
  </si>
  <si>
    <t xml:space="preserve">Cross-post To</t>
  </si>
  <si>
    <t xml:space="preserve">YouTube Title</t>
  </si>
  <si>
    <t xml:space="preserve">YouTube Description</t>
  </si>
  <si>
    <t xml:space="preserve">YouTube Tags</t>
  </si>
  <si>
    <t xml:space="preserve">Reddit Subreddit</t>
  </si>
  <si>
    <t xml:space="preserve">Reddit Title</t>
  </si>
  <si>
    <t xml:space="preserve">Reddit Post</t>
  </si>
  <si>
    <t xml:space="preserve">Post Time (LI / IG)</t>
  </si>
  <si>
    <t xml:space="preserve">Status</t>
  </si>
  <si>
    <t xml:space="preserve">Posted URL / Notes</t>
  </si>
  <si>
    <t xml:space="preserve">Mon</t>
  </si>
  <si>
    <t xml:space="preserve">Nov 2026</t>
  </si>
  <si>
    <t xml:space="preserve">E-commerce SEO Foundations + Black Friday / Cyber Monday SEO</t>
  </si>
  <si>
    <t xml:space="preserve">Educate</t>
  </si>
  <si>
    <t xml:space="preserve">SLIDE</t>
  </si>
  <si>
    <t xml:space="preserve">LinkedIn Slide Post (PDF carousel)</t>
  </si>
  <si>
    <t xml:space="preserve">Instagram Slide Post (carousel)</t>
  </si>
  <si>
    <t xml:space="preserve">Meet Mehrooz: 8 reasons e-commerce stores lose organic traffic</t>
  </si>
  <si>
    <t xml:space="preserve">Your store isn't invisible by accident. Here are 8 reasons why.</t>
  </si>
  <si>
    <t xml:space="preserve">why is my store losing organic traffic</t>
  </si>
  <si>
    <t xml:space="preserve">ecommerce SEO, Shopify organic traffic drop, online store SEO problems, ecommerce traffic decline</t>
  </si>
  <si>
    <t xml:space="preserve">I'm Muhammad Mehrooz Shafique, Co-Founder of Permanent SEO.
I work with e-commerce brands on one thing: organic traffic that stays.
On this account I'll teach store owners how SEO actually works for online shops. Technical fixes. Product and category pages. Seasonal SEO. AI search. Real case breakdowns.
To start, here's what I see most often when a store's organic traffic slides:
→ Collection pages with no unique content
→ Duplicate URLs from filters and variants
→ Seasonal pages deleted after every sale
→ Out-of-stock products returning 404s
→ Slow mobile pages loaded with apps
→ No internal links pointing to money pages
→ Product titles written for the brand, not the buyer
→ Nobody checking Google Search Console
None of these need a bigger budget. They need someone to look.
This month is all about e-commerce SEO foundations and getting ready for Black Friday and Cyber Monday.
Swipe through the carousel. Then check your own store against it.
Comment "LEAKS" and I'll send you the E-commerce Organic Traffic Leak Checklist.
#EcommerceSEO #ShopifySEO #OrganicTraffic #PermanentSEO</t>
  </si>
  <si>
    <t xml:space="preserve">#EcommerceSEO #ShopifySEO #OrganicTraffic #PermanentSEO</t>
  </si>
  <si>
    <t xml:space="preserve">8 reasons your store is losing organic traffic.
→ Thin collection pages
→ Filter and variant duplicates
→ Deleted seasonal pages
→ 404s on out-of-stock products
→ Slow, app-heavy mobile pages
I'm Mehrooz, Co-Founder of Permanent SEO. I'll be teaching e-commerce SEO here every weekday.
Save this and check your store tonight.
Comment "LEAKS" for the E-commerce Organic Traffic Leak Checklist.
#ecommerceseo #seotips #shopifyseo #onlinestore #ecommercetips #organictraffic #smallbusinessseo #shopifystore #woocommerce #seoexpert #ecommercemarketing #storeowner</t>
  </si>
  <si>
    <t xml:space="preserve">#ecommerceseo #seotips #shopifyseo #onlinestore #ecommercetips #organictraffic #smallbusinessseo #shopifystore #woocommerce #seoexpert #ecommercemarketing #storeowner</t>
  </si>
  <si>
    <t xml:space="preserve">Slide 1: Your store isn't invisible by accident. | 8 reasons e-commerce stores lose organic traffic. Photo of Mehrooz, name + "Co-Founder, Permanent SEO"
Slide 2: Who I am | Muhammad Mehrooz Shafique. I help e-commerce brands build organic traffic that stays. This account: store SEO, seasonal SEO, AI search, real breakdowns.
Slide 3: Reason 1: Thin collection pages | A grid of products and no text. Google can't tell what the page is about or why it should rank.
Slide 4: Reason 2: Duplicate URLs | Filters, sorting and variants create hundreds of near-identical URLs. Check canonicals.
Slide 5: Reason 3: Deleted seasonal pages | Every January the Black Friday page gets deleted. Every November you start from zero.
Slide 6: Reason 4: Out-of-stock 404s | Removing products kills links and rankings. Keep the page, show alternatives.
Slide 7: Reason 5 + 6: Speed and internal links | Slow mobile pages lose visitors. Money pages with no internal links lose rankings.
Slide 8: Reason 7 + 8: Titles and blind spots | Product titles nobody searches for. No one opening Google Search Console.
Slide 9: The fix starts with a check | Not a bigger budget. A 30-minute look at the right reports.
Slide 10: Comment "LEAKS" | Get the E-commerce Organic Traffic Leak Checklist. Follow Mehrooz for daily e-commerce SEO.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</si>
  <si>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Your store isn't invisible by accident. | 8 reasons e-commerce stores lose organic traffic. Photo of Mehrooz, name + "Co-Founder, Permanent SEO"
Slide 2: Who I am | Muhammad Mehrooz Shafique. I help e-commerce brands build organic traffic that stays. This account: store SEO, seasonal SEO, AI search, real breakdowns.
Slide 3: Reason 1: Thin collection pages | A grid of products and no text. Google can't tell what the page is about or why it should rank.
Slide 4: Reason 2: Duplicate URLs | Filters, sorting and variants create hundreds of near-identical URLs. Check canonicals.
Slide 5: Reason 3: Deleted seasonal pages | Every January the Black Friday page gets deleted. Every November you start from zero.
Slide 6: Reason 4: Out-of-stock 404s | Removing products kills links and rankings. Keep the page, show alternatives.
Slide 7: Reason 5 + 6: Speed and internal links | Slow mobile pages lose visitors. Money pages with no internal links lose rankings.
Slide 8: Reason 7 + 8: Titles and blind spots | Product titles nobody searches for. No one opening Google Search Console.
Slide 9: The fix starts with a check | Not a bigger budget. A 30-minute look at the right reports.
Slide 10: Comment "LEAKS" | Get the E-commerce Organic Traffic Leak Checklist. Follow Mehrooz for daily e-commerce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</si>
  <si>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Your store isn't invisible by accident. | 8 reasons e-commerce stores lose organic traffic. Photo of Mehrooz, name + "Co-Founder, Permanent SEO"
Slide 2: Who I am | Muhammad Mehrooz Shafique. I help e-commerce brands build organic traffic that stays. This account: store SEO, seasonal SEO, AI search, real breakdowns.
Slide 3: Reason 1: Thin collection pages | A grid of products and no text. Google can't tell what the page is about or why it should rank.
Slide 4: Reason 2: Duplicate URLs | Filters, sorting and variants create hundreds of near-identical URLs. Check canonicals.
Slide 5: Reason 3: Deleted seasonal pages | Every January the Black Friday page gets deleted. Every November you start from zero.
Slide 6: Reason 4: Out-of-stock 404s | Removing products kills links and rankings. Keep the page, show alternatives.
Slide 7: Reason 5 + 6: Speed and internal links | Slow mobile pages lose visitors. Money pages with no internal links lose rankings.
Slide 8: Reason 7 + 8: Titles and blind spots | Product titles nobody searches for. No one opening Google Search Console.
Slide 9: The fix starts with a check | Not a bigger budget. A 30-minute look at the right reports.
Slide 10: Comment "LEAKS" | Get the E-commerce Organic Traffic Leak Checklist. Follow Mehrooz for daily e-commerce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</si>
  <si>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LEAKS</t>
  </si>
  <si>
    <t xml:space="preserve">E-commerce Organic Traffic Leak Checklist (PDF, 8 checks)</t>
  </si>
  <si>
    <t xml:space="preserve">I'm Mehrooz, Co-Founder of Permanent SEO. I help e-commerce stores get organic traffic that stays.
First thread: 8 reasons stores lose organic traffic.
---
1. Thin collection pages. A product grid with no text gives Google nothing to rank.
2. Duplicate URLs. Filters, sorting and variants create near-identical pages. Check your canonicals.
---
3. Deleted seasonal pages. Delete the Black Friday page in January and you start from zero every November.
4. Out-of-stock 404s. Keep the URL. Show alternatives.
---
5. Slow mobile pages. Every app adds weight.
6. No internal links to money pages. If you don't link to it, Google treats it as less important.
---
7. Product titles nobody searches for.
8. Nobody opening Google Search Console.
None of this needs more budget. It needs a check. #EcommerceSEO</t>
  </si>
  <si>
    <t xml:space="preserve">Repost the Instagram caption + same visual</t>
  </si>
  <si>
    <t xml:space="preserve">X thread · Facebook carousel · Reddit text post</t>
  </si>
  <si>
    <t xml:space="preserve">r/ecommerce</t>
  </si>
  <si>
    <t xml:space="preserve">The 8 most common reasons I see e-commerce stores lose organic traffic</t>
  </si>
  <si>
    <t xml:space="preserve">I audit online stores for a living, mostly Shopify and WooCommerce. The same issues show up again and again when organic traffic slides, so here's the list.
1. Collection pages with zero unique text. Just a product grid.
2. Duplicate URLs from filters, sort parameters and variants, with weak or missing canonicals.
3. Seasonal pages (Black Friday, Christmas) deleted after the sale, so every year starts with no history.
4. Out-of-stock products removed and left as 404s, losing their links.
5. Slow mobile pages, usually from too many apps and scripts.
6. Important category pages with almost no internal links.
7. Product titles written in brand language instead of the words buyers search.
8. Nobody checking Google Search Console, so drops go unnoticed for months.
Most of these are fixable in an afternoon once you know where to look. Search Console's Pages report and Performance report catch most of them.
Which of these have you run into on your own store, and did fixing it change anything?</t>
  </si>
  <si>
    <t xml:space="preserve">08:30 / 12:30</t>
  </si>
  <si>
    <t xml:space="preserve">Planned</t>
  </si>
  <si>
    <t xml:space="preserve">Tue</t>
  </si>
  <si>
    <t xml:space="preserve">Data &amp; Insight</t>
  </si>
  <si>
    <t xml:space="preserve">POST</t>
  </si>
  <si>
    <t xml:space="preserve">LinkedIn Post (detailed image)</t>
  </si>
  <si>
    <t xml:space="preserve">Instagram Post (single image)</t>
  </si>
  <si>
    <t xml:space="preserve">The 10-point store SEO audit you can run in one hour</t>
  </si>
  <si>
    <t xml:space="preserve">The 10-point store SEO audit. One hour. No tools you don't have.</t>
  </si>
  <si>
    <t xml:space="preserve">ecommerce SEO audit checklist</t>
  </si>
  <si>
    <t xml:space="preserve">Shopify SEO audit, online store SEO audit, ecommerce technical SEO, store SEO checklist</t>
  </si>
  <si>
    <t xml:space="preserve">Most store owners think an SEO audit needs expensive software.
It doesn't. The basics need Google Search Console, a browser and one hour.
Here's the 10-point check I start every store audit with:
1. Pages report: how many URLs are indexed vs not indexed
2. Top 20 queries: are they buying queries or random ones
3. Homepage title tag: does it say what you sell
4. Collection pages: is there unique text above or below the grid
5. Product titles: do they match how buyers search
6. Canonicals on filtered URLs
7. Out-of-stock products: live page or 404
8. Core Web Vitals report on mobile
9. Internal links to your top 5 collections
10. Last year's seasonal URLs: still live or deleted
If you find problems in 3 or more, your store is leaving organic revenue on the table.
The image breaks down where to find each one.
Comment "STORECHECK" and I'll send you the 10-Point Store SEO Audit Sheet.
#EcommerceSEO #SEOAudit #ShopifySEO #GoogleSearchConsole</t>
  </si>
  <si>
    <t xml:space="preserve">#EcommerceSEO #SEOAudit #ShopifySEO #GoogleSearchConsole</t>
  </si>
  <si>
    <t xml:space="preserve">The 10-point store SEO audit.
→ Indexed vs not indexed pages
→ Top 20 queries: buying or random?
→ Unique text on collection pages
→ Canonicals on filter URLs
→ Out-of-stock pages: live or 404?
One hour. Search Console and a browser.
Fix the cheapest problems first.
Save this for your next quiet afternoon.
Comment "STORECHECK" for the 10-Point Store SEO Audit Sheet.
#seoaudit #ecommerceseo #shopifyseo #seotips #onlinestore #woocommerce #googlesearchconsole #ecommercetips #technicalseo #storeowner #shopifytips #digitalmarketing</t>
  </si>
  <si>
    <t xml:space="preserve">#seoaudit #ecommerceseo #shopifyseo #seotips #onlinestore #woocommerce #googlesearchconsole #ecommercetips #technicalseo #storeowner #shopifytips #digitalmarketing</t>
  </si>
  <si>
    <t xml:space="preserve">Single image, 1080x1350 (IG) and 1200x1500 (LinkedIn). Style: clean checklist infographic, dark navy background, white text, one accent colour (green ticks).
Headline (top, bold condensed): THE 10-POINT STORE SEO AUDIT
Sub-headline: One hour. Google Search Console + a browser.
Numbered list in two columns, each item = check + where to find it:
1. Indexed vs not indexed | GSC &gt; Pages
2. Top 20 queries | GSC &gt; Performance &gt; Queries
3. Homepage title tag | View source / browser tab
4. Collection page text | Your top 5 collections
5. Product titles vs searches | GSC queries vs product names
6. Canonicals on filter URLs | View source on a filtered URL
7. Out-of-stock handling | Visit 3 sold-out products
8. Mobile Core Web Vitals | GSC &gt; Core Web Vitals
9. Internal links to top collections | Homepage + menu + blog
10. Last year's seasonal URLs | Type /black-friday into your domain
Bottom bar: "3+ problems = organic revenue left on the table" | Footer: Mehrooz Shafique · Permanent SEO | Banner: Comment "STORECHECK" for the audit sheet</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</si>
  <si>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"The 10-point store SEO audit. One hour. No tools you don't have."
SUBHEAD: "The 10-point store SEO audit you can run in one hour"
MAIN VISUAL: the layout described below containing exactly: 
Single image, 1080x1350 (IG) and 1200x1500 (LinkedIn). Style: clean checklist infographic, dark navy background, white text, one accent colour (green ticks).
Headline (top, bold condensed): THE 10-POINT STORE SEO AUDIT
Sub-headline: One hour. Google Search Console + a browser.
Numbered list in two columns, each item = check + where to find it:
1. Indexed vs not indexed | GSC &gt; Pages
2. Top 20 queries | GSC &gt; Performance &gt; Queries
3. Homepage title tag | View source / browser tab
4. Collection page text | Your top 5 collections
5. Product titles vs searches | GSC queries vs product names
6. Canonicals on filter URLs | View source on a filtered URL
7. Out-of-stock handling | Visit 3 sold-out products
8. Mobile Core Web Vitals | GSC &gt; Core Web Vitals
9. Internal links to top collections | Homepage + menu + blog
10. Last year's seasonal URLs | Type /black-friday into your domain
Bottom bar: "3+ problems = organic revenue left on the table" | Footer: Mehrooz Shafique · Permanent SEO | Banner: Comment "STORECHECK" for the audit sheet
CTA BANNER (bottom, navy rounded box, white text, keyword in blue): Comment "STORECHECK" for 10-Point Store SEO Audit Sheet (Google Sheet with where-to-check notes)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</si>
  <si>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"The 10-point store SEO audit. One hour. No tools you don't have."
BODY (numbered points / simple visual): the 3–5 key points from this brief, shortened to max 8 words each:
Single image, 1080x1350 (IG) and 1200x1500 (LinkedIn). Style: clean checklist infographic, dark navy background, white text, one accent colour (green ticks).
Headline (top, bold condensed): THE 10-POINT STORE SEO AUDIT
Sub-headline: One hour. Google Search Console + a browser.
Numbered list in two columns, each item = check + where to find it:
1. Indexed vs not indexed | GSC &gt; Pages
2. Top 20 queries | GSC &gt; Performance &gt; Queries
3. Homepage title tag | View source / browser tab
4. Collection page text | Your top 5 collections
5. Product titles vs searches | GSC queries vs product names
6. Canonicals on filter URLs | View source on a filtered URL
7. Out-of-stock handling | Visit 3 sold-out products
8. Mobile Core Web Vitals | GSC &gt; Core Web Vitals
9. Internal links to top collections | Homepage + menu + blog
10. Last year's seasonal URLs | Type /black-friday into your domain
Bottom bar: "3+ problems = organic revenue left on the table" | Footer: Mehrooz Shafique · Permanent SEO | Banner: Comment "STORECHECK" for the audit sheet
BOTTOM BAR: Comment "STORECHECK" for 10-Point Store SEO Audit Sheet (Google Sheet with where-to-check notes)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</si>
  <si>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STORECHECK</t>
  </si>
  <si>
    <t xml:space="preserve">10-Point Store SEO Audit Sheet (Google Sheet with where-to-check notes)</t>
  </si>
  <si>
    <t xml:space="preserve">A store SEO audit doesn't need paid tools.
Search Console + a browser + 1 hour:
→ Indexed vs not indexed
→ Top 20 queries
→ Collection page text
→ Filter canonicals
→ Out-of-stock pages
→ Mobile CWV
→ Last year's BFCM URLs
#EcommerceSEO</t>
  </si>
  <si>
    <t xml:space="preserve">X post + image · Facebook image post</t>
  </si>
  <si>
    <t xml:space="preserve">08:30 / 18:30</t>
  </si>
  <si>
    <t xml:space="preserve">Wed</t>
  </si>
  <si>
    <t xml:space="preserve">Myth-Busting</t>
  </si>
  <si>
    <t xml:space="preserve">REEL</t>
  </si>
  <si>
    <t xml:space="preserve">LinkedIn native vertical video</t>
  </si>
  <si>
    <t xml:space="preserve">Instagram Reel (9:16)</t>
  </si>
  <si>
    <t xml:space="preserve">Myth: delete your Black Friday page after the sale</t>
  </si>
  <si>
    <t xml:space="preserve">We don't delete Black Friday pages. We keep them.</t>
  </si>
  <si>
    <t xml:space="preserve">black friday landing page SEO</t>
  </si>
  <si>
    <t xml:space="preserve">evergreen black friday URL, seasonal landing page SEO, BFCM page SEO, should I delete black friday page</t>
  </si>
  <si>
    <t xml:space="preserve">Most stores delete their Black Friday page in December.
Then rebuild it from scratch every November.
That's the mistake, and it costs more every year.
A page that has existed for years has history. Links from deal sites. Mentions. Clicks. Google has seen it before.
A new URL every year starts at zero. Two weeks before the biggest sales weekend.
What to do instead:
→ One permanent URL: /black-friday (no year in it)
→ After the sale, update the page: "Our next Black Friday sale is coming. Join the list."
→ Keep it in your footer or sitemap so it stays indexed
→ Refresh the content each October
The page sleeps. The authority doesn't.
Comment "EVERGREEN" and I'll send you the Evergreen Seasonal Page Template.
#BlackFriday #EcommerceSEO #ShopifySEO #SeasonalSEO</t>
  </si>
  <si>
    <t xml:space="preserve">#BlackFriday #EcommerceSEO #ShopifySEO #SeasonalSEO</t>
  </si>
  <si>
    <t xml:space="preserve">Don't delete your Black Friday page.
→ Keep one URL with no year in it
→ After the sale, switch it to "coming soon + join the list"
→ Keep it indexed
→ Refresh it every October
The page sleeps. The authority doesn't.
Share this with a store owner who rebuilds every year.
Comment "EVERGREEN" for the Evergreen Seasonal Page Template.
#blackfriday #blackfridaysale #ecommerceseo #shopifyseo #seotips #onlinestore #ecommercetips #cybermonday #shopifystore #smallbusiness #seasonalmarketing #woocommerce</t>
  </si>
  <si>
    <t xml:space="preserve">#blackfriday #blackfridaysale #ecommerceseo #shopifyseo #seotips #onlinestore #ecommercetips #cybermonday #shopifystore #smallbusiness #seasonalmarketing #woocommerce</t>
  </si>
  <si>
    <t xml:space="preserve">[0-2s] VO: We don't delete Black Friday pages. | ON-SCREEN: WE DON'T DELETE BLACK FRIDAY PAGES. | VISUAL: Bold white kinetic type on black, a page icon being dragged to a bin then stopped
[2-4s] VO: We keep them. | ON-SCREEN: WE KEEP THEM. | VISUAL: Page icon snaps back, glows
[4-7s] VO: Most stores do the same thing every December. | ON-SCREEN: MOST STORES, EVERY DECEMBER: | VISUAL: Calendar flips to December
[7-9s] VO: Sale ends. | ON-SCREEN: SALE ENDS. | VISUAL: Price tag fades
[9-10s] VO: Page deleted. | ON-SCREEN: PAGE DELETED. | VISUAL: 404 flashes
[10-12s] VO: Rebuilt in November. | ON-SCREEN: REBUILT IN NOVEMBER. | VISUAL: Empty page skeleton
[12-15s] VO: But a seasonal page needs three things. | ON-SCREEN: BUT IT NEEDS 3 THINGS | VISUAL: Three empty slots
[15-18s] VO: One URL. No year in it. | ON-SCREEN: 1. ONE URL. NO YEAR. | VISUAL: /black-friday typed in a browser bar
[18-21s] VO: A holding message after the sale. | ON-SCREEN: 2. A HOLDING MESSAGE | VISUAL: "Next sale coming. Join the list."
[21-24s] VO: A refresh every October. | ON-SCREEN: 3. A REFRESH EVERY OCTOBER | VISUAL: Calendar to October, page updates
[24-27s] VO: Without those three, every single year starts at zero. | ON-SCREEN: EVERY YEAR STARTS AT ZERO | VISUAL: Counter resets to 0
[27-29s] VO: The page sleeps. | ON-SCREEN: THE PAGE SLEEPS. | VISUAL: Page dims
[29-32s] VO: The authority doesn't. | ON-SCREEN: THE AUTHORITY DOESN'T. | VISUAL: Page pulses; end card "Comment EVERGREEN" + @Mehrooz · Permanent SEO</t>
  </si>
  <si>
    <t xml:space="preserve">Same video as Instagram Reel (upload natively, 9:16, add captions). See Instagram prompt →</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</si>
  <si>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delete Black Friday pages. | ON-SCREEN: WE DON'T DELETE BLACK FRIDAY PAGES. | VISUAL: Bold white kinetic type on black, a page icon being dragged to a bin then stopped
[2-4s] VO: We keep them. | ON-SCREEN: WE KEEP THEM. | VISUAL: Page icon snaps back, glows
[4-7s] VO: Most stores do the same thing every December. | ON-SCREEN: MOST STORES, EVERY DECEMBER: | VISUAL: Calendar flips to December
[7-9s] VO: Sale ends. | ON-SCREEN: SALE ENDS. | VISUAL: Price tag fades
[9-10s] VO: Page deleted. | ON-SCREEN: PAGE DELETED. | VISUAL: 404 flashes
[10-12s] VO: Rebuilt in November. | ON-SCREEN: REBUILT IN NOVEMBER. | VISUAL: Empty page skeleton
[12-15s] VO: But a seasonal page needs three things. | ON-SCREEN: BUT IT NEEDS 3 THINGS | VISUAL: Three empty slots
[15-18s] VO: One URL. No year in it. | ON-SCREEN: 1. ONE URL. NO YEAR. | VISUAL: /black-friday typed in a browser bar
[18-21s] VO: A holding message after the sale. | ON-SCREEN: 2. A HOLDING MESSAGE | VISUAL: "Next sale coming. Join the list."
[21-24s] VO: A refresh every October. | ON-SCREEN: 3. A REFRESH EVERY OCTOBER | VISUAL: Calendar to October, page updates
[24-27s] VO: Without those three, every single year starts at zero. | ON-SCREEN: EVERY YEAR STARTS AT ZERO | VISUAL: Counter resets to 0
[27-29s] VO: The page sleeps. | ON-SCREEN: THE PAGE SLEEPS. | VISUAL: Page dims
[29-32s] VO: The authority doesn't. | ON-SCREEN: THE AUTHORITY DOESN'T. | VISUAL: Page pulses; end card "Comment EVERGREEN" + @Mehrooz · Permanent SEO
Final 3 s: dark/navy end card with Permanent SEO logo, 'SEO for E-commerce Brands' and 'Comment "EVERGREEN"'. Burned-in captions. All text spelled exactly as written, sharp and legible on mobile; no extra words, no watermarks.</t>
  </si>
  <si>
    <t xml:space="preserve">EVERGREEN</t>
  </si>
  <si>
    <t xml:space="preserve">Evergreen Seasonal Page Template (Black Friday / Cyber Monday page outline + off-season copy)</t>
  </si>
  <si>
    <t xml:space="preserve">Stop deleting your Black Friday page in December.
One URL. No year in it. Holding message after the sale. Refresh in October.
A new URL every year starts at zero.
The page sleeps. The authority doesn't. #BlackFriday #EcommerceSEO</t>
  </si>
  <si>
    <t xml:space="preserve">Repost the Instagram caption + same visual as Facebook Reel</t>
  </si>
  <si>
    <t xml:space="preserve">YouTube Shorts · Facebook Reels · X video</t>
  </si>
  <si>
    <t xml:space="preserve">Black Friday Landing Page SEO: Why You Should Never Delete It</t>
  </si>
  <si>
    <t xml:space="preserve">Black Friday landing page SEO in 30 seconds: keep one permanent URL, switch it to a holding message after the sale, and refresh it every October so it keeps its authority. #Shorts</t>
  </si>
  <si>
    <t xml:space="preserve">black friday landing page SEO, black friday SEO, seasonal landing page, ecommerce SEO, shopify SEO, BFCM SEO, evergreen URL, cyber monday SEO, online store SEO, Permanent SEO</t>
  </si>
  <si>
    <t xml:space="preserve">12:00 / 19:00</t>
  </si>
  <si>
    <t xml:space="preserve">Thu</t>
  </si>
  <si>
    <t xml:space="preserve">Explainer</t>
  </si>
  <si>
    <t xml:space="preserve">LONG_VIDEO</t>
  </si>
  <si>
    <t xml:space="preserve">LinkedIn Long Video (16:9)</t>
  </si>
  <si>
    <t xml:space="preserve">Instagram Reel (30–45 s vertical cut)</t>
  </si>
  <si>
    <t xml:space="preserve">Google Search Console for store owners: the 4 reports that matter</t>
  </si>
  <si>
    <t xml:space="preserve">You don't need all of Search Console. You need 4 reports.</t>
  </si>
  <si>
    <t xml:space="preserve">google search console for ecommerce</t>
  </si>
  <si>
    <t xml:space="preserve">Search Console for Shopify, GSC performance report, GSC pages report, Search Console tutorial for store owners</t>
  </si>
  <si>
    <t xml:space="preserve">Most store owners open Google Search Console once, see 40 menus, and close it.
You don't need all of it. You need 4 reports.
1. Performance → Queries
What people actually type before they find you. Sort by impressions. Look for buying queries with low clicks.
2. Performance → Pages
Which product and collection pages earn clicks. Compare this month vs last year to see seasonal patterns.
3. Pages (Indexing)
Which URLs Google refuses to index, and why. "Crawled, currently not indexed" on a collection page is a warning sign.
4. Core Web Vitals
Mobile first. Poor URLs here will hurt you most when traffic peaks.
15 minutes a week across these 4 reports will tell you more about your store than most monthly reports.
The video walks through each one.
Comment "CONSOLE" and I'll send you the Search Console Weekly Routine for Store Owners.
#GoogleSearchConsole #EcommerceSEO #ShopifySEO #SEO</t>
  </si>
  <si>
    <t xml:space="preserve">#GoogleSearchConsole #EcommerceSEO #ShopifySEO #SEO</t>
  </si>
  <si>
    <t xml:space="preserve">Search Console has 40 menus. Store owners need 4.
→ Performance: Queries
→ Performance: Pages
→ Pages (Indexing)
→ Core Web Vitals
15 minutes a week. That's it. Start with queries that get impressions but no clicks. Those are usually the quickest wins.
Save this before your next login.
Comment "CONSOLE" for the Search Console Weekly Routine for Store Owners.
#googlesearchconsole #ecommerceseo #seotips #shopifyseo #onlinestore #storeowner #seoforbeginners #woocommerce #ecommercetips #shopifytips #technicalseo #digitalmarketing</t>
  </si>
  <si>
    <t xml:space="preserve">#googlesearchconsole #ecommerceseo #seotips #shopifyseo #onlinestore #storeowner #seoforbeginners #woocommerce #ecommercetips #shopifytips #technicalseo #digitalmarketing</t>
  </si>
  <si>
    <t xml:space="preserve">Scene 1 [0-10s] VO: "Okay. Search Console. Performance, Pages, Links, Experience, Enhancements... yeah, I'll look at this later." Close tab. | VISUAL: Animated store owner at laptop, GSC sidebar menus multiplying, tab closes
Scene 2 [10-20s] VO: "Let's be honest. The data on why your store isn't growing is already in there. You just don't know which part to read." | VISUAL: Magnifier over a blurred dashboard
Scene 3 [20-30s] VO: "So you guess. More products. More ads. More blog posts. And the real problems sit there untouched." | VISUAL: Three icons stacking, a red warning blinking underneath
Scene 4 [30-38s] VO: "Here's how we use it at Permanent SEO. Four reports. Fifteen minutes a week." | VISUAL: Logo, then four tiles
Scene 5 [38-50s] VO: "One. Performance, queries. Sort by impressions. Find buying searches where you show up but nobody clicks. Those titles need work." | VISUAL: Query table, high-impression low-CTR rows highlighted
Scene 6 [50-62s] VO: "Two. Performance, pages. See which collections and products earn clicks. Compare to last year to spot seasonal pages." | VISUAL: Date compare toggle, line chart rising in November
Scene 7 [62-74s] VO: "Three. The Pages report. If a collection says crawled, currently not indexed, Google doesn't think it's worth showing." | VISUAL: Indexing reasons list, collection URL flagged
Scene 8 [74-84s] VO: "Four. Core Web Vitals, on mobile. Fix poor URLs before peak traffic, not during it." | VISUAL: Poor / needs improvement / good bars
Scene 9 [84-92s] VO: "That's the result we look for: [CLIENT RESULT: what changed after weekly GSC reviews]." | VISUAL: Placeholder results card
Scene 10 [92-105s] VO: "Comment CONSOLE and I'll send you the weekly routine. Or book a free e-commerce SEO audit with Permanent SEO." | VISUAL: End card, keyword, Mehrooz name + Permanent SEO</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</si>
  <si>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[0-10s] VO: "Okay. Search Console. Performance, Pages, Links, Experience, Enhancements... yeah, I'll look at this later." Close tab. | VISUAL: Animated store owner at laptop, GSC sidebar menus multiplying, tab closes
Scene 2 [10-20s] VO: "Let's be honest. The data on why your store isn't growing is already in there. You just don't know which part to read." | VISUAL: Magnifier over a blurred dashboard
Scene 3 [20-30s] VO: "So you guess. More products. More ads. More blog posts. And the real problems sit there untouched." | VISUAL: Three icons stacking, a red warning blinking underneath
Scene 4 [30-38s] VO: "Here's how we use it at Permanent SEO. Four reports. Fifteen minutes a week." | VISUAL: Logo, then four tiles
Scene 5 [38-50s] VO: "One. Performance, queries. Sort by impressions. Find buying searches where you show up but nobody clicks. Those titles need work." | VISUAL: Query table, high-impression low-CTR rows highlighted
Scene 6 [50-62s] VO: "Two. Performance, pages. See which collections and products earn clicks. Compare to last year to spot seasonal pages." | VISUAL: Date compare toggle, line chart rising in November
Scene 7 [62-74s] VO: "Three. The Pages report. If a collection says crawled, currently not indexed, Google doesn't think it's worth showing." | VISUAL: Indexing reasons list, collection URL flagged
Scene 8 [74-84s] VO: "Four. Core Web Vitals, on mobile. Fix poor URLs before peak traffic, not during it." | VISUAL: Poor / needs improvement / good bars
Scene 9 [84-92s] VO: "That's the result we look for: [CLIENT RESULT: what changed after weekly GSC reviews]." | VISUAL: Placeholder results card
Scene 10 [92-105s] VO: "Comment CONSOLE and I'll send you the weekly routine. Or book a free e-commerce SEO audit with Permanent SEO." | VISUAL: End card, keyword, Mehrooz name + Permanent SEO
End card: Permanent SEO logo + 'Comment "CONSOLE"'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</si>
  <si>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[0-10s] VO: "Okay. Search Console. Performance, Pages, Links, Experience, Enhancements... yeah, I'll look at this later." Close tab. | VISUAL: Animated store owner at laptop, GSC sidebar menus multiplying, tab closes
Scene 2 [10-20s] VO: "Let's be honest. The data on why your store isn't growing is already in there. You just don't know which part to read." | VISUAL: Magnifier over a blurred dashboard
Scene 3 [20-30s] VO: "So you guess. More products. More ads. More blog posts. And the real problems sit there untouched." | VISUAL: Three icons stacking, a red warning blinking underneath
Scene 4 [30-38s] VO: "Here's how we use it at Permanent SEO. Four reports. Fifteen minutes a week." | VISUAL: Logo, then four tiles
Scene 5 [38-50s] VO: "One. Performance, queries. Sort by impressions. Find buying searches where you show up but nobody clicks. Those titles need work." | VISUAL: Query table, high-impression low-CTR rows highlighted
Scene 6 [50-62s] VO: "Two. Performance, pages. See which collections and products earn clicks. Compare to last year to spot seasonal pages." | VISUAL: Date compare toggle, line chart rising in November
Scene 7 [62-74s] VO: "Three. The Pages report. If a collection says crawled, currently not indexed, Google doesn't think it's worth showing." | VISUAL: Indexing reasons list, collection URL flagged
Scene 8 [74-84s] VO: "Four. Core Web Vitals, on mobile. Fix poor URLs before peak traffic, not during it." | VISUAL: Poor / needs improvement / good bars
Scene 9 [84-92s] VO: "That's the result we look for: [CLIENT RESULT: what changed after weekly GSC reviews]." | VISUAL: Placeholder results card
Scene 10 [92-105s] VO: "Comment CONSOLE and I'll send you the weekly routine. Or book a free e-commerce SEO audit with Permanent SEO." | VISUAL: End card, keyword, Mehrooz name + Permanent SEO
Final 3 s: dark/navy end card with Permanent SEO logo, 'SEO for E-commerce Brands' and 'Comment "CONSOLE"'. Burned-in captions. All text spelled exactly as written, sharp and legible on mobile; no extra words, no watermarks.</t>
  </si>
  <si>
    <t xml:space="preserve">CONSOLE</t>
  </si>
  <si>
    <t xml:space="preserve">Search Console Weekly Routine for Store Owners (15-minute checklist PDF)</t>
  </si>
  <si>
    <t xml:space="preserve">Store owners don't need all of Google Search Console. Just 4 reports:
1. Performance → Queries
2. Performance → Pages
3. Pages (Indexing)
4. Core Web Vitals (mobile)
15 minutes a week. #EcommerceSEO</t>
  </si>
  <si>
    <t xml:space="preserve">Repost the Instagram caption + same visual (upload 16:9 natively)</t>
  </si>
  <si>
    <t xml:space="preserve">YouTube long video · Facebook native video · X clip (first 45 s)</t>
  </si>
  <si>
    <t xml:space="preserve">Google Search Console for Ecommerce: The Only 4 Reports You Need</t>
  </si>
  <si>
    <t xml:space="preserve">Google Search Console for ecommerce explained for store owners. Mehrooz Shafique from Permanent SEO walks through the 4 reports that show why your store isn't growing, and a 15-minute weekly routine to use them.</t>
  </si>
  <si>
    <t xml:space="preserve">google search console for ecommerce, search console tutorial, shopify SEO, ecommerce SEO, GSC performance report, GSC pages report, core web vitals, store owner SEO, woocommerce SEO, Permanent SEO</t>
  </si>
  <si>
    <t xml:space="preserve">Fri</t>
  </si>
  <si>
    <t xml:space="preserve">Proof &amp; Freebie</t>
  </si>
  <si>
    <t xml:space="preserve">Free guide preview: the Black Friday SEO Playbook for stores</t>
  </si>
  <si>
    <t xml:space="preserve">The Black Friday SEO Playbook. 7 chapters. Free.</t>
  </si>
  <si>
    <t xml:space="preserve">black friday SEO checklist</t>
  </si>
  <si>
    <t xml:space="preserve">BFCM SEO, Black Friday SEO tips, cyber monday SEO, holiday ecommerce SEO</t>
  </si>
  <si>
    <t xml:space="preserve">Black Friday is 27 November. Cyber Monday is 30 November.
Three weeks is enough time to fix the SEO basics. It's not enough to start from nothing.
So I put everything we check before peak season into one playbook:
1. The permanent BFCM URL strategy
2. Search Console checks for the next 21 days
3. Category vs product page intent for deal searches
4. Internal linking to holiday collections
5. Merchant Center free listings setup
6. Out-of-stock rules for sale week
7. Speed fixes before traffic peaks
No theory. Each chapter ends with a short checklist you can hand to whoever runs your store.
I'm giving it away free this month.
Comment "PLAYBOOK" and I'll send you the Black Friday SEO Playbook.
#BlackFriday #CyberMonday #EcommerceSEO #ShopifySEO</t>
  </si>
  <si>
    <t xml:space="preserve">#BlackFriday #CyberMonday #EcommerceSEO #ShopifySEO</t>
  </si>
  <si>
    <t xml:space="preserve">The Black Friday SEO Playbook. Free.
1. Permanent BFCM URLs
2. Search Console checks
3. Category vs product intent
4. Internal links to holiday collections
5. Merchant Center free listings
6. Out-of-stock rules
7. Speed before peak
Each chapter ends with a short checklist you can hand to your team.
Three weeks left. Save this.
Comment "PLAYBOOK" for the Black Friday SEO Playbook.
#blackfriday #cybermonday #bfcm #ecommerceseo #shopifyseo #seotips #onlinestore #blackfridaysale #ecommercetips #shopifystore #woocommerce #holidaymarketing #smallbusiness</t>
  </si>
  <si>
    <t xml:space="preserve">#blackfriday #cybermonday #bfcm #ecommerceseo #shopifyseo #seotips #onlinestore #blackfridaysale #ecommercetips #shopifystore #woocommerce #holidaymarketing #smallbusiness</t>
  </si>
  <si>
    <t xml:space="preserve">Single image "guide preview", 1080x1350. Layout: left 55% = mock 3D cover of an ebook titled "THE BLACK FRIDAY SEO PLAYBOOK" with sub-title "For Shopify &amp; WooCommerce stores · 2026 edition" and author line "Muhammad Mehrooz Shafique · Permanent SEO". Right 45% = "INSIDE:" with numbered chapters:
01 The permanent BFCM URL strategy
02 Search Console: 21-day checks
03 Category vs product intent
04 Internal links to holiday collections
05 Merchant Center free listings
06 Out-of-stock rules for sale week
07 Speed fixes before peak traffic
Top corner tag: "Black Friday 27 Nov · Cyber Monday 30 Nov". Bottom full-width banner, bright accent colour: Comment "PLAYBOOK" for free access.</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</si>
  <si>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"The Black Friday SEO Playbook. 7 chapters. Free."
SUBHEAD: "Free guide preview: the Black Friday SEO Playbook for stores"
MAIN VISUAL: the layout described below containing exactly: 
Single image "guide preview", 1080x1350. Layout: left 55% = mock 3D cover of an ebook titled "THE BLACK FRIDAY SEO PLAYBOOK" with sub-title "For Shopify &amp; WooCommerce stores · 2026 edition" and author line "Muhammad Mehrooz Shafique · Permanent SEO". Right 45% = "INSIDE:" with numbered chapters:
01 The permanent BFCM URL strategy
02 Search Console: 21-day checks
03 Category vs product intent
04 Internal links to holiday collections
05 Merchant Center free listings
06 Out-of-stock rules for sale week
07 Speed fixes before peak traffic
Top corner tag: "Black Friday 27 Nov · Cyber Monday 30 Nov". Bottom full-width banner, bright accent colour: Comment "PLAYBOOK" for free access.
CTA BANNER (bottom, navy rounded box, white text, keyword in blue): Comment "PLAYBOOK" for Black Friday SEO Playbook (7-chapter PDF with checklists)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</si>
  <si>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"The Black Friday SEO Playbook. 7 chapters. Free."
BODY (numbered points / simple visual): the 3–5 key points from this brief, shortened to max 8 words each:
Single image "guide preview", 1080x1350. Layout: left 55% = mock 3D cover of an ebook titled "THE BLACK FRIDAY SEO PLAYBOOK" with sub-title "For Shopify &amp; WooCommerce stores · 2026 edition" and author line "Muhammad Mehrooz Shafique · Permanent SEO". Right 45% = "INSIDE:" with numbered chapters:
01 The permanent BFCM URL strategy
02 Search Console: 21-day checks
03 Category vs product intent
04 Internal links to holiday collections
05 Merchant Center free listings
06 Out-of-stock rules for sale week
07 Speed fixes before peak traffic
Top corner tag: "Black Friday 27 Nov · Cyber Monday 30 Nov". Bottom full-width banner, bright accent colour: Comment "PLAYBOOK" for free access.
BOTTOM BAR: Comment "PLAYBOOK" for Black Friday SEO Playbook (7-chapter PDF with checklists)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</si>
  <si>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PLAYBOOK</t>
  </si>
  <si>
    <t xml:space="preserve">Black Friday SEO Playbook (7-chapter PDF with checklists)</t>
  </si>
  <si>
    <t xml:space="preserve">Black Friday is 27 Nov. Three weeks left.
I wrote a free Black Friday SEO Playbook: permanent URLs, GSC checks, intent, internal links, Merchant Center, out-of-stock rules, speed.
Reply "PLAYBOOK" and I'll send it. #BlackFriday #EcommerceSEO</t>
  </si>
  <si>
    <t xml:space="preserve">09:00 / 12:30</t>
  </si>
  <si>
    <t xml:space="preserve">Product vs category page intent: which page should rank for what</t>
  </si>
  <si>
    <t xml:space="preserve">Your product page is ranking for the wrong search. Here's why.</t>
  </si>
  <si>
    <t xml:space="preserve">category page vs product page SEO</t>
  </si>
  <si>
    <t xml:space="preserve">search intent ecommerce, collection page SEO, product page SEO, keyword mapping for ecommerce</t>
  </si>
  <si>
    <t xml:space="preserve">"Why is my product page ranking for a broad search and not converting?"
Because it's the wrong page for that search.
Google reads intent first.
→ "running shoes" = I want to compare options → category page
→ "nike pegasus 41 mens size 10" = I know what I want → product page
→ "best running shoes for flat feet" = I want advice → guide that links to a category
→ "running shoes black friday" = I want deals → seasonal collection
When you force a product page onto a broad search, two things happen. It struggles to rank. And when it does, people bounce because they wanted choice.
The fix is a simple keyword map: one search intent, one page type, one URL.
The carousel walks through how to build it for your store.
Comment "INTENTMAP" and I'll send you the E-commerce Keyword-to-Page Intent Map.
#EcommerceSEO #SearchIntent #ShopifySEO #KeywordResearch</t>
  </si>
  <si>
    <t xml:space="preserve">#EcommerceSEO #SearchIntent #ShopifySEO #KeywordResearch</t>
  </si>
  <si>
    <t xml:space="preserve">Product page or category page? Google decides by intent.
→ "running shoes" = category
→ "pegasus 41 size 10" = product
→ "best shoes for flat feet" = guide
→ "running shoes black friday" = seasonal collection
One intent. One page type. One URL.
Save this before you write your next title tag.
Comment "INTENTMAP" for the E-commerce Keyword-to-Page Intent Map.
#searchintent #ecommerceseo #keywordresearch #shopifyseo #seotips #onlinestore #productpage #woocommerce #ecommercetips #seostrategy #shopifystore #contentstrategy</t>
  </si>
  <si>
    <t xml:space="preserve">#searchintent #ecommerceseo #keywordresearch #shopifyseo #seotips #onlinestore #productpage #woocommerce #ecommercetips #seostrategy #shopifystore #contentstrategy</t>
  </si>
  <si>
    <t xml:space="preserve">Slide 1: Your product page is ranking for the wrong search. | Product vs category page intent, explained.
Slide 2: Google reads intent first | Before your title, your copy or your links. What does the searcher want to do next?
Slide 3: Broad search = compare | "running shoes" → category page. People want choice, filters, prices.
Slide 4: Specific search = buy | "nike pegasus 41 mens size 10" → product page. They know exactly what they want.
Slide 5: Question search = learn | "best running shoes for flat feet" → guide or buying page that links to the category.
Slide 6: Seasonal search = deals | "running shoes black friday" → seasonal collection on a permanent URL.
Slide 7: What goes wrong | A product page forced onto a broad search ranks poorly and converts worse.
Slide 8: Build the map | Column 1: keyword. Column 2: intent. Column 3: page type. Column 4: URL. One URL per intent.
Slide 9: Check it in Search Console | Performance → Pages → pick a product → Queries. Broad queries here = a missing category page.
Slide 10: Comment "INTENTMAP" | Get the E-commerce Keyword-to-Page Intent Map. Follow Mehrooz for more store SEO.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</si>
  <si>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Your product page is ranking for the wrong search. | Product vs category page intent, explained.
Slide 2: Google reads intent first | Before your title, your copy or your links. What does the searcher want to do next?
Slide 3: Broad search = compare | "running shoes" → category page. People want choice, filters, prices.
Slide 4: Specific search = buy | "nike pegasus 41 mens size 10" → product page. They know exactly what they want.
Slide 5: Question search = learn | "best running shoes for flat feet" → guide or buying page that links to the category.
Slide 6: Seasonal search = deals | "running shoes black friday" → seasonal collection on a permanent URL.
Slide 7: What goes wrong | A product page forced onto a broad search ranks poorly and converts worse.
Slide 8: Build the map | Column 1: keyword. Column 2: intent. Column 3: page type. Column 4: URL. One URL per intent.
Slide 9: Check it in Search Console | Performance → Pages → pick a product → Queries. Broad queries here = a missing category page.
Slide 10: Comment "INTENTMAP" | Get the E-commerce Keyword-to-Page Intent Map. Follow Mehrooz for more store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</si>
  <si>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Your product page is ranking for the wrong search. | Product vs category page intent, explained.
Slide 2: Google reads intent first | Before your title, your copy or your links. What does the searcher want to do next?
Slide 3: Broad search = compare | "running shoes" → category page. People want choice, filters, prices.
Slide 4: Specific search = buy | "nike pegasus 41 mens size 10" → product page. They know exactly what they want.
Slide 5: Question search = learn | "best running shoes for flat feet" → guide or buying page that links to the category.
Slide 6: Seasonal search = deals | "running shoes black friday" → seasonal collection on a permanent URL.
Slide 7: What goes wrong | A product page forced onto a broad search ranks poorly and converts worse.
Slide 8: Build the map | Column 1: keyword. Column 2: intent. Column 3: page type. Column 4: URL. One URL per intent.
Slide 9: Check it in Search Console | Performance → Pages → pick a product → Queries. Broad queries here = a missing category page.
Slide 10: Comment "INTENTMAP" | Get the E-commerce Keyword-to-Page Intent Map. Follow Mehrooz for more store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</si>
  <si>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INTENTMAP</t>
  </si>
  <si>
    <t xml:space="preserve">E-commerce Keyword-to-Page Intent Map (Google Sheet template with examples)</t>
  </si>
  <si>
    <t xml:space="preserve">Your product page might be ranking for the wrong search.
Google reads intent before anything else. Here's how to match search type to page type in an online store.
---
Broad search = compare.
"running shoes" → category page.
People want choice, filters and prices.
---
Specific search = buy.
"nike pegasus 41 mens size 10" → product page.
---
Question search = learn.
"best running shoes for flat feet" → guide that links into the category.
Seasonal search = deals.
"running shoes black friday" → seasonal collection on a permanent URL.
---
Quick check: Search Console → Performance → Pages → open a product → Queries.
Broad queries landing on a product page usually means a missing category page.
---
Build a 4-column map: keyword, intent, page type, URL.
One intent. One page. One URL. #EcommerceSEO</t>
  </si>
  <si>
    <t xml:space="preserve">r/shopify</t>
  </si>
  <si>
    <t xml:space="preserve">How to decide if a keyword should go to a product page or a collection page</t>
  </si>
  <si>
    <t xml:space="preserve">A common issue I see in Shopify stores: product pages ranking (badly) for broad searches that should go to a collection.
A simple way to decide is to look at what the searcher wants to do next.
- Broad terms like "running shoes" usually mean they want to compare. Collection page.
- Specific terms with model, size or colour mean they know what they want. Product page.
- Questions like "best X for Y" mean they want advice. A guide or buying page that links to the collection.
- Seasonal terms like "X black friday" mean they want deals. A seasonal collection that lives on the same URL every year.
Fastest way to check your own store: Search Console, Performance, Pages, click a product URL, then switch to Queries. If you see broad category-style queries there, you probably need a stronger collection page for them.
Once you know, map it in a sheet: keyword, intent, page type, URL. One intent per URL.
How do you all handle this when a product is basically the whole category, like a single-product store?</t>
  </si>
  <si>
    <t xml:space="preserve">Yearly vs permanent BFCM URLs: a side-by-side comparison</t>
  </si>
  <si>
    <t xml:space="preserve">/black-friday-2026 vs /black-friday. Only one keeps its rankings.</t>
  </si>
  <si>
    <t xml:space="preserve">black friday URL structure SEO</t>
  </si>
  <si>
    <t xml:space="preserve">seasonal URL SEO, black friday page URL, permanent seasonal URL, BFCM landing page</t>
  </si>
  <si>
    <t xml:space="preserve">Two ways stores build their Black Friday page:
Option A: /black-friday-2026
Option B: /black-friday
They look almost the same. They behave very differently in Google.
With a yearly URL:
❌ Every year is a brand new page
❌ Last year's links point to a dead or redirected URL
❌ Google has no history with it
❌ You rebuild internal links every November
With a permanent URL:
✅ Links and history build year after year
✅ It can rank before the sale even starts
✅ One page to update, not one to create
✅ Off-season, it collects email sign-ups
If you already have yearly URLs, don't panic. 301 redirect the old ones to one permanent URL and update your internal links.
The table in the image shows the full comparison.
Comment "ONEURL" and I'll send you the Seasonal URL Migration Checklist.
#BlackFriday #EcommerceSEO #TechnicalSEO #ShopifySEO</t>
  </si>
  <si>
    <t xml:space="preserve">#BlackFriday #EcommerceSEO #TechnicalSEO #ShopifySEO</t>
  </si>
  <si>
    <t xml:space="preserve">/black-friday-2026 vs /black-friday
Yearly URL:
❌ New page every year
❌ Last year's links lost
❌ No history
Permanent URL:
✅ Builds links every year
✅ Ranks before the sale starts
✅ Collects emails off-season
Already have yearly URLs? 301 them to one permanent page and update your internal links.
Save this before you build this year's page.
Comment "ONEURL" for the Seasonal URL Migration Checklist.
#blackfriday #ecommerceseo #technicalseo #shopifyseo #seotips #onlinestore #bfcm #cybermonday #woocommerce #ecommercetips #shopifystore #urlstructure</t>
  </si>
  <si>
    <t xml:space="preserve">#blackfriday #ecommerceseo #technicalseo #shopifyseo #seotips #onlinestore #bfcm #cybermonday #woocommerce #ecommercetips #shopifystore #urlstructure</t>
  </si>
  <si>
    <t xml:space="preserve">Single image, comparison table, 1080x1350. Headline: YEARLY URL vs PERMANENT URL. Sub-headline: Which Black Friday page keeps its rankings?
Two column headers styled as browser bars: left "yoursite.com/black-friday-2026" (red tint), right "yoursite.com/black-friday" (green tint).
Table rows (row label | yearly | permanent):
Page age | Starts at zero every year | Grows every year
Backlinks | Lost or redirected | Kept and growing
Ranking before sale | Unlikely | Possible
Internal links | Rebuilt each November | Set once
Off-season use | Deleted or 404 | Email sign-up / "next sale" page
Work each year | Build a new page | Update one page
Bottom note box: "Already have yearly URLs? 301 redirect them to one permanent URL." Footer: Mehrooz Shafique · Permanent SEO | Banner: Comment "ONEURL" for the migration checklist</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</si>
  <si>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"/black-friday-2026 vs /black-friday. Only one keeps its rankings."
SUBHEAD: "Yearly vs permanent BFCM URLs: a side-by-side comparison"
MAIN VISUAL: the layout described below containing exactly: 
Single image, comparison table, 1080x1350. Headline: YEARLY URL vs PERMANENT URL. Sub-headline: Which Black Friday page keeps its rankings?
Two column headers styled as browser bars: left "yoursite.com/black-friday-2026" (red tint), right "yoursite.com/black-friday" (green tint).
Table rows (row label | yearly | permanent):
Page age | Starts at zero every year | Grows every year
Backlinks | Lost or redirected | Kept and growing
Ranking before sale | Unlikely | Possible
Internal links | Rebuilt each November | Set once
Off-season use | Deleted or 404 | Email sign-up / "next sale" page
Work each year | Build a new page | Update one page
Bottom note box: "Already have yearly URLs? 301 redirect them to one permanent URL." Footer: Mehrooz Shafique · Permanent SEO | Banner: Comment "ONEURL" for the migration checklist
CTA BANNER (bottom, navy rounded box, white text, keyword in blue): Comment "ONEURL" for Seasonal URL Migration Checklist (yearly-to-permanent redirect steps,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</si>
  <si>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"/black-friday-2026 vs /black-friday. Only one keeps its rankings."
BODY (numbered points / simple visual): the 3–5 key points from this brief, shortened to max 8 words each:
Single image, comparison table, 1080x1350. Headline: YEARLY URL vs PERMANENT URL. Sub-headline: Which Black Friday page keeps its rankings?
Two column headers styled as browser bars: left "yoursite.com/black-friday-2026" (red tint), right "yoursite.com/black-friday" (green tint).
Table rows (row label | yearly | permanent):
Page age | Starts at zero every year | Grows every year
Backlinks | Lost or redirected | Kept and growing
Ranking before sale | Unlikely | Possible
Internal links | Rebuilt each November | Set once
Off-season use | Deleted or 404 | Email sign-up / "next sale" page
Work each year | Build a new page | Update one page
Bottom note box: "Already have yearly URLs? 301 redirect them to one permanent URL." Footer: Mehrooz Shafique · Permanent SEO | Banner: Comment "ONEURL" for the migration checklist
BOTTOM BAR: Comment "ONEURL" for Seasonal URL Migration Checklist (yearly-to-permanent redirect steps,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</si>
  <si>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ONEURL</t>
  </si>
  <si>
    <t xml:space="preserve">Seasonal URL Migration Checklist (yearly-to-permanent redirect steps, PDF)</t>
  </si>
  <si>
    <t xml:space="preserve">/black-friday-2026 starts at zero every year.
/black-friday builds links and history every year.
Already have yearly URLs? 301 them to one permanent page and update internal links. #BlackFriday #SEO</t>
  </si>
  <si>
    <t xml:space="preserve">Myth: remove out-of-stock products from your store</t>
  </si>
  <si>
    <t xml:space="preserve">We don't delete sold-out products. We keep the page working.</t>
  </si>
  <si>
    <t xml:space="preserve">out of stock products SEO</t>
  </si>
  <si>
    <t xml:space="preserve">sold out product page SEO, discontinued products SEO, Shopify out of stock SEO, 404 vs 301 ecommerce</t>
  </si>
  <si>
    <t xml:space="preserve">Sale week is when products sell out fastest.
And it's when most stores make this mistake: they delete or hide the product.
That URL might have taken months to rank. It might have links from reviews and gift guides. Delete it and all of that turns into a 404.
What we do instead:
→ Temporarily out of stock: keep the page live, show "back soon", add a restock email sign-up and link to similar products
→ Permanently discontinued with a close replacement: 301 redirect to that replacement or the parent category
→ Discontinued with no replacement and no links: let it 404 or 410
The rule is simple. Ask what the searcher should see next.
Sold out is a stock problem. Don't turn it into an SEO problem.
Comment "RESTOCK" and I'll send you the Out-of-Stock Decision Tree.
#EcommerceSEO #ShopifySEO #TechnicalSEO #BlackFriday</t>
  </si>
  <si>
    <t xml:space="preserve">#EcommerceSEO #ShopifySEO #TechnicalSEO #BlackFriday</t>
  </si>
  <si>
    <t xml:space="preserve">Sold out? Don't delete the page.
→ Back soon: keep it live, add restock alerts, link alternatives
→ Gone with a replacement: 301 to it
→ Gone, no links, no replacement: let it 404
Sold out is a stock problem. Don't make it an SEO problem.
Ask one question: what should the searcher see next?
Save this for sale week.
Comment "RESTOCK" for the Out-of-Stock Decision Tree.
#ecommerceseo #shopifyseo #outofstock #seotips #onlinestore #technicalseo #blackfriday #woocommerce #ecommercetips #shopifystore #inventorymanagement #smallbusiness</t>
  </si>
  <si>
    <t xml:space="preserve">#ecommerceseo #shopifyseo #outofstock #seotips #onlinestore #technicalseo #blackfriday #woocommerce #ecommercetips #shopifystore #inventorymanagement #smallbusiness</t>
  </si>
  <si>
    <t xml:space="preserve">[0-3s] VO: We don't delete sold-out products. | ON-SCREEN: WE DON'T DELETE SOLD-OUT PRODUCTS. | VISUAL: Product card stamped SOLD OUT, a cursor hovers over Delete
[3-5s] VO: We keep the page working for buyers. | ON-SCREEN: WE KEEP THE PAGE WORKING. | VISUAL: Cursor moves away, page stays
[5-7s] VO: Most stores do this. | ON-SCREEN: MOST STORES: | VISUAL: Three quick cuts
[7-8s] VO: Hide it. | ON-SCREEN: HIDE IT. | VISUAL: Eye icon slashed
[8-9s] VO: Delete it. | ON-SCREEN: DELETE IT. | VISUAL: Bin icon
[9-10s] VO: Forget it. | ON-SCREEN: FORGET IT. | VISUAL: 404 page
[10-13s] VO: But first, ask three things. | ON-SCREEN: BUT FIRST, 3 QUESTIONS | VISUAL: Three numbered cards
[13-16s] VO: Is it coming back? | ON-SCREEN: 1. COMING BACK? → KEEP IT LIVE | VISUAL: "Notify me" button
[16-19s] VO: Is there a replacement? | ON-SCREEN: 2. REPLACEMENT? → 301 IT | VISUAL: Arrow to a new product
[19-22s] VO: Does it have links? | ON-SCREEN: 3. HAS LINKS? → DON'T 404 IT | VISUAL: Chain links connecting to the page
[22-25s] VO: Without those answers, a sold-out product becomes a dead page. | ON-SCREEN: SOLD OUT → DEAD PAGE | VISUAL: Page greys out
[25-27s] VO: Sold out is only a stock problem. | ON-SCREEN: SOLD OUT IS A STOCK PROBLEM. | VISUAL: Box icon
[27-30s] VO: Don't make it an SEO problem. | ON-SCREEN: DON'T MAKE IT AN SEO PROBLEM. | VISUAL: End card "Comment RESTOCK" + @Mehrooz ·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</si>
  <si>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[0-3s] VO: We don't delete sold-out products. | ON-SCREEN: WE DON'T DELETE SOLD-OUT PRODUCTS. | VISUAL: Product card stamped SOLD OUT, a cursor hovers over Delete
[3-5s] VO: We keep the page working for buyers. | ON-SCREEN: WE KEEP THE PAGE WORKING. | VISUAL: Cursor moves away, page stays
[5-7s] VO: Most stores do this. | ON-SCREEN: MOST STORES: | VISUAL: Three quick cuts
[7-8s] VO: Hide it. | ON-SCREEN: HIDE IT. | VISUAL: Eye icon slashed
[8-9s] VO: Delete it. | ON-SCREEN: DELETE IT. | VISUAL: Bin icon
[9-10s] VO: Forget it. | ON-SCREEN: FORGET IT. | VISUAL: 404 page
[10-13s] VO: But first, ask three things. | ON-SCREEN: BUT FIRST, 3 QUESTIONS | VISUAL: Three numbered cards
[13-16s] VO: Is it coming back? | ON-SCREEN: 1. COMING BACK? → KEEP IT LIVE | VISUAL: "Notify me" button
[16-19s] VO: Is there a replacement? | ON-SCREEN: 2. REPLACEMENT? → 301 IT | VISUAL: Arrow to a new product
[19-22s] VO: Does it have links? | ON-SCREEN: 3. HAS LINKS? → DON'T 404 IT | VISUAL: Chain links connecting to the page
[22-25s] VO: Without those answers, a sold-out product becomes a dead page. | ON-SCREEN: SOLD OUT → DEAD PAGE | VISUAL: Page greys out
[25-27s] VO: Sold out is only a stock problem. | ON-SCREEN: SOLD OUT IS A STOCK PROBLEM. | VISUAL: Box icon
[27-30s] VO: Don't make it an SEO problem. | ON-SCREEN: DON'T MAKE IT AN SEO PROBLEM. | VISUAL: End card "Comment RESTOCK" + @Mehrooz · Permanent SEO
Final 3 s: dark/navy end card with Permanent SEO logo, 'SEO for E-commerce Brands' and 'Comment "RESTOCK"'. Burned-in captions. All text spelled exactly as written, sharp and legible on mobile; no extra words, no watermarks.</t>
  </si>
  <si>
    <t xml:space="preserve">RESTOCK</t>
  </si>
  <si>
    <t xml:space="preserve">Out-of-Stock Decision Tree (keep live vs 301 vs 404, one-page PDF)</t>
  </si>
  <si>
    <t xml:space="preserve">Product sold out? Don't delete the page.
Coming back → keep it live + restock alerts
Replacement exists → 301
No links, no replacement → let it 404
Sold out is a stock problem. Don't make it an SEO problem. #EcommerceSEO</t>
  </si>
  <si>
    <t xml:space="preserve">Out of Stock Products SEO: Don't Delete Sold-Out Pages</t>
  </si>
  <si>
    <t xml:space="preserve">Out of stock products SEO in 30 seconds: when to keep a sold-out product page live, when to 301 redirect it, and when a 404 is fine. #Shorts</t>
  </si>
  <si>
    <t xml:space="preserve">out of stock products SEO, sold out product page, shopify SEO, ecommerce SEO, 301 redirect, 404 errors, discontinued products, black friday SEO, technical SEO, Permanent SEO</t>
  </si>
  <si>
    <t xml:space="preserve">Internal linking for holiday collections before Black Friday</t>
  </si>
  <si>
    <t xml:space="preserve">Your Black Friday collection is live. Can Google even find it?</t>
  </si>
  <si>
    <t xml:space="preserve">internal linking for ecommerce</t>
  </si>
  <si>
    <t xml:space="preserve">holiday collection SEO, Shopify internal links, gift guide internal linking, black friday collection SEO</t>
  </si>
  <si>
    <t xml:space="preserve">A new holiday collection with no internal links is a page Google may barely notice.
You built "Christmas gifts for him". It's live. It's in the sitemap.
But nothing on your site points to it. So Google treats it as low priority.
Internal links tell Google what matters on your store. Here's the setup we use for holiday collections:
→ Homepage: one clear link to the main seasonal hub (/black-friday or /gifts)
→ Main menu: a seasonal item from now until early January
→ Seasonal hub: links down to each gift or deal collection
→ Each collection: links back up to the hub and across to 2–3 related collections
→ Top 10 products: a short "part of our Christmas gift guide" link
→ Blog gift guides: link to the collection, not just single products
Use descriptive anchor text. "Gifts for runners" beats "click here".
The video shows how the structure looks.
Comment "HUBLINKS" and I'll send you the Holiday Collection Internal Linking Map.
#InternalLinking #EcommerceSEO #ShopifySEO #HolidaySEO</t>
  </si>
  <si>
    <t xml:space="preserve">#InternalLinking #EcommerceSEO #ShopifySEO #HolidaySEO</t>
  </si>
  <si>
    <t xml:space="preserve">Your holiday collection is live. Does anything link to it?
→ Homepage link to the seasonal hub
→ Seasonal item in the main menu
→ Hub links to every gift collection
→ Collections link back and across
→ Top products link to the gift guide
Clear anchor text. "Gifts for runners", not "click here".
Save this before launch week.
Comment "HUBLINKS" for the Holiday Collection Internal Linking Map.
#internallinking #ecommerceseo #shopifyseo #seotips #christmasgifts #blackfriday #onlinestore #woocommerce #giftguide #ecommercetips #shopifystore #holidaymarketing</t>
  </si>
  <si>
    <t xml:space="preserve">#internallinking #ecommerceseo #shopifyseo #seotips #christmasgifts #blackfriday #onlinestore #woocommerce #giftguide #ecommercetips #shopifystore #holidaymarketing</t>
  </si>
  <si>
    <t xml:space="preserve">Scene 1 [0-10s] VO: "Right. Christmas gift collection, live. Black Friday collection, live. Now we just wait for Google." Long pause. "...Any day now." | VISUAL: Store owner animation, clock spinning, empty traffic graph
Scene 2 [10-20s] VO: "Let's be honest. Your new collection isn't the problem. The problem is nothing on your store points to it." | VISUAL: Site map nodes, one isolated node blinking
Scene 3 [20-32s] VO: "Google follows links to decide what matters. A page with no internal links looks like a page you don't care about. Meanwhile your competitor's gift guide sits in their menu, their homepage and every product page." | VISUAL: Competitor node lit up with many connecting lines
Scene 4 [32-40s] VO: "Here's how Permanent SEO links holiday collections." | VISUAL: Logo, hub-and-spoke diagram building
Scene 5 [40-52s] VO: "Step one. One seasonal hub on a permanent URL. Link it from the homepage and the main menu." | VISUAL: Homepage + menu arrows into hub
Scene 6 [52-64s] VO: "Step two. The hub links down to every gift and deal collection. Each collection links back up, and across to two or three related ones." | VISUAL: Spokes and cross-links appear
Scene 7 [64-76s] VO: "Step three. Your best sellers link to the collections they belong to. Your blog gift guides link to collections, not just single products." | VISUAL: Product page with a small text link highlighted
Scene 8 [76-86s] VO: "Step four. Use anchor text people would search. Gifts for runners. Not click here." | VISUAL: Two anchor examples, one crossed out
Scene 9 [86-94s] VO: "Here's what that did for one store: [CLIENT RESULT: +X% clicks to holiday collections]." | VISUAL: Placeholder results card
Scene 10 [94-108s] VO: "Comment HUBLINKS for the linking map. Or book a free e-commerce SEO audit with Permanent SEO." | VISUAL: End card, keyword, Mehrooz + Permanent SEO</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</si>
  <si>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[0-10s] VO: "Right. Christmas gift collection, live. Black Friday collection, live. Now we just wait for Google." Long pause. "...Any day now." | VISUAL: Store owner animation, clock spinning, empty traffic graph
Scene 2 [10-20s] VO: "Let's be honest. Your new collection isn't the problem. The problem is nothing on your store points to it." | VISUAL: Site map nodes, one isolated node blinking
Scene 3 [20-32s] VO: "Google follows links to decide what matters. A page with no internal links looks like a page you don't care about. Meanwhile your competitor's gift guide sits in their menu, their homepage and every product page." | VISUAL: Competitor node lit up with many connecting lines
Scene 4 [32-40s] VO: "Here's how Permanent SEO links holiday collections." | VISUAL: Logo, hub-and-spoke diagram building
Scene 5 [40-52s] VO: "Step one. One seasonal hub on a permanent URL. Link it from the homepage and the main menu." | VISUAL: Homepage + menu arrows into hub
Scene 6 [52-64s] VO: "Step two. The hub links down to every gift and deal collection. Each collection links back up, and across to two or three related ones." | VISUAL: Spokes and cross-links appear
Scene 7 [64-76s] VO: "Step three. Your best sellers link to the collections they belong to. Your blog gift guides link to collections, not just single products." | VISUAL: Product page with a small text link highlighted
Scene 8 [76-86s] VO: "Step four. Use anchor text people would search. Gifts for runners. Not click here." | VISUAL: Two anchor examples, one crossed out
Scene 9 [86-94s] VO: "Here's what that did for one store: [CLIENT RESULT: +X% clicks to holiday collections]." | VISUAL: Placeholder results card
Scene 10 [94-108s] VO: "Comment HUBLINKS for the linking map. Or book a free e-commerce SEO audit with Permanent SEO." | VISUAL: End card, keyword, Mehrooz + Permanent SEO
End card: Permanent SEO logo + 'Comment "HUBLINKS"'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</si>
  <si>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[0-10s] VO: "Right. Christmas gift collection, live. Black Friday collection, live. Now we just wait for Google." Long pause. "...Any day now." | VISUAL: Store owner animation, clock spinning, empty traffic graph
Scene 2 [10-20s] VO: "Let's be honest. Your new collection isn't the problem. The problem is nothing on your store points to it." | VISUAL: Site map nodes, one isolated node blinking
Scene 3 [20-32s] VO: "Google follows links to decide what matters. A page with no internal links looks like a page you don't care about. Meanwhile your competitor's gift guide sits in their menu, their homepage and every product page." | VISUAL: Competitor node lit up with many connecting lines
Scene 4 [32-40s] VO: "Here's how Permanent SEO links holiday collections." | VISUAL: Logo, hub-and-spoke diagram building
Scene 5 [40-52s] VO: "Step one. One seasonal hub on a permanent URL. Link it from the homepage and the main menu." | VISUAL: Homepage + menu arrows into hub
Scene 6 [52-64s] VO: "Step two. The hub links down to every gift and deal collection. Each collection links back up, and across to two or three related ones." | VISUAL: Spokes and cross-links appear
Scene 7 [64-76s] VO: "Step three. Your best sellers link to the collections they belong to. Your blog gift guides link to collections, not just single products." | VISUAL: Product page with a small text link highlighted
Scene 8 [76-86s] VO: "Step four. Use anchor text people would search. Gifts for runners. Not click here." | VISUAL: Two anchor examples, one crossed out
Scene 9 [86-94s] VO: "Here's what that did for one store: [CLIENT RESULT: +X% clicks to holiday collections]." | VISUAL: Placeholder results card
Scene 10 [94-108s] VO: "Comment HUBLINKS for the linking map. Or book a free e-commerce SEO audit with Permanent SEO." | VISUAL: End card, keyword, Mehrooz + Permanent SEO
Final 3 s: dark/navy end card with Permanent SEO logo, 'SEO for E-commerce Brands' and 'Comment "HUBLINKS"'. Burned-in captions. All text spelled exactly as written, sharp and legible on mobile; no extra words, no watermarks.</t>
  </si>
  <si>
    <t xml:space="preserve">HUBLINKS</t>
  </si>
  <si>
    <t xml:space="preserve">Holiday Collection Internal Linking Map (hub-and-spoke template, Google Sheet + diagram)</t>
  </si>
  <si>
    <t xml:space="preserve">New holiday collection with zero internal links = low priority to Google.
Fix:
→ Homepage + menu link to a seasonal hub
→ Hub links to every collection
→ Collections link back and across
→ Best sellers link to their collection
#EcommerceSEO</t>
  </si>
  <si>
    <t xml:space="preserve">Internal Linking for Ecommerce: Get Holiday Collections Found</t>
  </si>
  <si>
    <t xml:space="preserve">Internal linking for ecommerce explained with a simple hub-and-spoke setup for Black Friday and Christmas collections. Mehrooz Shafique from Permanent SEO shows the four steps that help Google find and prioritise your seasonal pages.</t>
  </si>
  <si>
    <t xml:space="preserve">internal linking for ecommerce, holiday collection SEO, shopify internal links, black friday SEO, christmas gift guide SEO, ecommerce SEO, anchor text, site structure, woocommerce SEO, Permanent SEO</t>
  </si>
  <si>
    <t xml:space="preserve">Case study: reviving a seasonal page instead of rebuilding it</t>
  </si>
  <si>
    <t xml:space="preserve">We didn't build a new Black Friday page. We fixed it.</t>
  </si>
  <si>
    <t xml:space="preserve">seasonal SEO case study</t>
  </si>
  <si>
    <t xml:space="preserve">black friday page case study, ecommerce SEO results, seasonal landing page results, old URL SEO</t>
  </si>
  <si>
    <t xml:space="preserve">[Client: UK homeware store] came to us in [MONTH] with a familiar setup.
Five years of Black Friday sales. Five different URLs. Each one deleted or left as a 404 after the sale.
Here's what we did:
1. Found every old seasonal URL in Search Console and their backlink profile
2. Chose one permanent URL: /black-friday
3. 301 redirected all the old yearly URLs to it
4. Rewrote the page: what's on sale, delivery cut-off dates, FAQs, links to each deal collection
5. Linked it from the homepage and main menu from early [MONTH]
6. After the sale, switched it to a "next sale" page with an email sign-up
Results:
→ [CLIENT RESULT: page ranking position for "brand + black friday" before vs after]
→ [CLIENT RESULT: +X% organic clicks to the page vs last year]
→ [CLIENT RESULT: X email sign-ups from the off-season version]
No new content budget. Just old pages put back to work.
Comment "REVIVE" and I'll send you the Seasonal Page Revival SOP we used.
#CaseStudy #EcommerceSEO #BlackFriday #ShopifySEO</t>
  </si>
  <si>
    <t xml:space="preserve">#CaseStudy #EcommerceSEO #BlackFriday #ShopifySEO</t>
  </si>
  <si>
    <t xml:space="preserve">5 years. 5 Black Friday URLs. All deleted.
What we did:
→ Found every old URL
→ 301'd them to one permanent page
→ Rewrote it with deals, cut-offs, FAQs
→ Linked it from the homepage
→ Turned it into an email page after the sale
Result: [CLIENT RESULT: +X% organic clicks]
No new content budget. Just old pages put back to work.
Comment "REVIVE" for the Seasonal Page Revival SOP.
#seocasestudy #ecommerceseo #blackfriday #shopifyseo #seotips #onlinestore #seoresults #bfcm #woocommerce #ecommercetips #shopifystore #redirects</t>
  </si>
  <si>
    <t xml:space="preserve">#seocasestudy #ecommerceseo #blackfriday #shopifyseo #seotips #onlinestore #seoresults #bfcm #woocommerce #ecommercetips #shopifystore #redirects</t>
  </si>
  <si>
    <t xml:space="preserve">Single image, case study card, 1080x1350. Top label: CASE STUDY. Headline: WE FIXED THE OLD BLACK FRIDAY PAGE. Sub-headline: [Client: UK homeware store] · Shopify.
Left block "BEFORE": 5 yearly URLs listed as struck-through browser bars (/black-friday-2021 ... /black-friday-2025), label "All 404 or deleted".
Right block "AFTER": one green browser bar "/black-friday", label "One permanent URL".
Middle: 6 numbered steps in small text: 1 Find old URLs · 2 Pick one URL · 3 301 redirects · 4 Rewrite page · 5 Homepage + menu links · 6 Off-season email version.
Results row of three stat tiles (placeholders): [+X% organic clicks] · [Position X → Y for "brand black friday"] · [X email sign-ups].
Footer: Mehrooz Shafique · Permanent SEO | Banner: Comment "REVIVE" for the SOP</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</si>
  <si>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"We didn't build a new Black Friday page. We fixed it."
SUBHEAD: "Case study: reviving a seasonal page instead of rebuilding it"
MAIN VISUAL: the layout described below containing exactly: 
Single image, case study card, 1080x1350. Top label: CASE STUDY. Headline: WE FIXED THE OLD BLACK FRIDAY PAGE. Sub-headline: [Client: UK homeware store] · Shopify.
Left block "BEFORE": 5 yearly URLs listed as struck-through browser bars (/black-friday-2021 ... /black-friday-2025), label "All 404 or deleted".
Right block "AFTER": one green browser bar "/black-friday", label "One permanent URL".
Middle: 6 numbered steps in small text: 1 Find old URLs · 2 Pick one URL · 3 301 redirects · 4 Rewrite page · 5 Homepage + menu links · 6 Off-season email version.
Results row of three stat tiles (placeholders): [+X% organic clicks] · [Position X → Y for "brand black friday"] · [X email sign-ups].
Footer: Mehrooz Shafique · Permanent SEO | Banner: Comment "REVIVE" for the SOP
CTA BANNER (bottom, navy rounded box, white text, keyword in blue): Comment "REVIVE" for Seasonal Page Revival SOP (step-by-step Google Doc)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</si>
  <si>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"We didn't build a new Black Friday page. We fixed it."
BODY (numbered points / simple visual): the 3–5 key points from this brief, shortened to max 8 words each:
Single image, case study card, 1080x1350. Top label: CASE STUDY. Headline: WE FIXED THE OLD BLACK FRIDAY PAGE. Sub-headline: [Client: UK homeware store] · Shopify.
Left block "BEFORE": 5 yearly URLs listed as struck-through browser bars (/black-friday-2021 ... /black-friday-2025), label "All 404 or deleted".
Right block "AFTER": one green browser bar "/black-friday", label "One permanent URL".
Middle: 6 numbered steps in small text: 1 Find old URLs · 2 Pick one URL · 3 301 redirects · 4 Rewrite page · 5 Homepage + menu links · 6 Off-season email version.
Results row of three stat tiles (placeholders): [+X% organic clicks] · [Position X → Y for "brand black friday"] · [X email sign-ups].
Footer: Mehrooz Shafique · Permanent SEO | Banner: Comment "REVIVE" for the SOP
BOTTOM BAR: Comment "REVIVE" for Seasonal Page Revival SOP (step-by-step Google Doc)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</si>
  <si>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REVIVE</t>
  </si>
  <si>
    <t xml:space="preserve">Seasonal Page Revival SOP (step-by-step Google Doc)</t>
  </si>
  <si>
    <t xml:space="preserve">Case study: a store had 5 Black Friday URLs from 5 years. All 404.
We 301'd them to one permanent /black-friday page, rewrote it and linked it from the homepage.
Result: [CLIENT RESULT: +X% organic clicks]. #EcommerceSEO</t>
  </si>
  <si>
    <t xml:space="preserve">Google Merchant Center free listings: setup in 7 steps</t>
  </si>
  <si>
    <t xml:space="preserve">Your products can show on Google Shopping for free.</t>
  </si>
  <si>
    <t xml:space="preserve">google merchant center free listings</t>
  </si>
  <si>
    <t xml:space="preserve">free product listings Google, Google Shopping free listings, Merchant Center Shopify, product feed SEO</t>
  </si>
  <si>
    <t xml:space="preserve">Google shows products in the Shopping tab and other surfaces without you paying for ads.
It's called free listings, and it runs through Google Merchant Center.
A lot of stores only use Merchant Center for paid Shopping ads. Or they never set it up at all.
Here's the 7-step setup:
1. Create or open your Merchant Center account
2. Verify and claim your website
3. Add shipping and returns settings
4. Connect your product feed (Shopify and WooCommerce have official integrations)
5. Make sure free listings are switched on for your products
6. Fix disapprovals: missing GTINs, price mismatches, image issues
7. Add product structured data on your site so prices and stock match the feed
Before Black Friday, check one more thing: sale prices. If your feed price doesn't match your page price, products can get disapproved right when you need them.
The carousel goes step by step.
Comment "FREELISTINGS" and I'll send you the Merchant Center Free Listings Setup Checklist.
#GoogleMerchantCenter #EcommerceSEO #GoogleShopping #ShopifySEO</t>
  </si>
  <si>
    <t xml:space="preserve">#GoogleMerchantCenter #EcommerceSEO #GoogleShopping #ShopifySEO</t>
  </si>
  <si>
    <t xml:space="preserve">Free product listings on Google. Most stores skip it.
1. Open Merchant Center
2. Verify your website
3. Add shipping + returns
4. Connect your product feed
5. Turn on free listings
6. Fix disapprovals
7. Match structured data to the feed
Check sale prices match before Black Friday. A mismatch can get products disapproved.
Save this.
Comment "FREELISTINGS" for the Merchant Center Setup Checklist.
#googlemerchantcenter #googleshopping #ecommerceseo #shopifyseo #seotips #onlinestore #productfeed #woocommerce #ecommercetips #shopifystore #blackfriday #smallbusiness</t>
  </si>
  <si>
    <t xml:space="preserve">#googlemerchantcenter #googleshopping #ecommerceseo #shopifyseo #seotips #onlinestore #productfeed #woocommerce #ecommercetips #shopifystore #blackfriday #smallbusiness</t>
  </si>
  <si>
    <t xml:space="preserve">Slide 1: Your products can show on Google Shopping for free. | Google Merchant Center free listings in 7 steps.
Slide 2: What free listings are | Unpaid product listings across Google surfaces like the Shopping tab. Managed in Merchant Center.
Slide 3: Step 1: Open Merchant Center | Create an account or log into the one your ads team set up.
Slide 4: Step 2: Verify your website | Verify and claim your domain so Google trusts your feed.
Slide 5: Step 3: Shipping + returns | Add delivery costs, times and your return policy. Missing info causes issues.
Slide 6: Step 4: Connect your feed | Use the official Shopify or WooCommerce integration, or a scheduled feed file.
Slide 7: Step 5: Turn on free listings | Check your products are opted in to free listings, not only Shopping ads.
Slide 8: Step 6: Fix disapprovals | Common ones: missing GTIN, price mismatch, image with text overlay, unclear availability.
Slide 9: Step 7: Match your structured data | Product schema on your site should show the same price and stock as the feed. Check sale prices before Black Friday.
Slide 10: Comment "FREELISTINGS" | Get the Merchant Center Free Listings Setup Checklist. Follow Mehrooz for more store SEO.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</si>
  <si>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Your products can show on Google Shopping for free. | Google Merchant Center free listings in 7 steps.
Slide 2: What free listings are | Unpaid product listings across Google surfaces like the Shopping tab. Managed in Merchant Center.
Slide 3: Step 1: Open Merchant Center | Create an account or log into the one your ads team set up.
Slide 4: Step 2: Verify your website | Verify and claim your domain so Google trusts your feed.
Slide 5: Step 3: Shipping + returns | Add delivery costs, times and your return policy. Missing info causes issues.
Slide 6: Step 4: Connect your feed | Use the official Shopify or WooCommerce integration, or a scheduled feed file.
Slide 7: Step 5: Turn on free listings | Check your products are opted in to free listings, not only Shopping ads.
Slide 8: Step 6: Fix disapprovals | Common ones: missing GTIN, price mismatch, image with text overlay, unclear availability.
Slide 9: Step 7: Match your structured data | Product schema on your site should show the same price and stock as the feed. Check sale prices before Black Friday.
Slide 10: Comment "FREELISTINGS" | Get the Merchant Center Free Listings Setup Checklist. Follow Mehrooz for more store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</si>
  <si>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Your products can show on Google Shopping for free. | Google Merchant Center free listings in 7 steps.
Slide 2: What free listings are | Unpaid product listings across Google surfaces like the Shopping tab. Managed in Merchant Center.
Slide 3: Step 1: Open Merchant Center | Create an account or log into the one your ads team set up.
Slide 4: Step 2: Verify your website | Verify and claim your domain so Google trusts your feed.
Slide 5: Step 3: Shipping + returns | Add delivery costs, times and your return policy. Missing info causes issues.
Slide 6: Step 4: Connect your feed | Use the official Shopify or WooCommerce integration, or a scheduled feed file.
Slide 7: Step 5: Turn on free listings | Check your products are opted in to free listings, not only Shopping ads.
Slide 8: Step 6: Fix disapprovals | Common ones: missing GTIN, price mismatch, image with text overlay, unclear availability.
Slide 9: Step 7: Match your structured data | Product schema on your site should show the same price and stock as the feed. Check sale prices before Black Friday.
Slide 10: Comment "FREELISTINGS" | Get the Merchant Center Free Listings Setup Checklist. Follow Mehrooz for more store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</si>
  <si>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FREELISTINGS</t>
  </si>
  <si>
    <t xml:space="preserve">Merchant Center Free Listings Setup Checklist (PDF with common disapproval fixes)</t>
  </si>
  <si>
    <t xml:space="preserve">Your products can show in Google Shopping without paying for ads.
It's called free listings, via Google Merchant Center.
7-step setup
---
1. Open Merchant Center
2. Verify and claim your website
3. Add shipping and returns settings
---
4. Connect your feed. Shopify and WooCommerce have official integrations.
5. Check your products are opted in to free listings, not only Shopping ads.
---
6. Fix disapprovals. The usual suspects: missing GTINs, price mismatches, images with text overlays.
---
7. Add Product structured data on your site so price and stock match the feed.
---
Before Black Friday: check your sale prices match between page and feed.
A mismatch can get products disapproved during the week you need them most. #EcommerceSEO</t>
  </si>
  <si>
    <t xml:space="preserve">Reminder: Google Merchant Center free listings are worth setting up before Black Friday</t>
  </si>
  <si>
    <t xml:space="preserve">Lots of store owners think Google Shopping is paid only. You can also get products shown through free listings in Merchant Center, and plenty of small stores never turn them on.
Basic setup:
1. Create a Merchant Center account and verify/claim your site.
2. Add shipping and returns info. Missing details cause problems.
3. Connect a product feed. Shopify and WooCommerce both have official integrations, or you can upload a scheduled file.
4. Check that products are opted in to free listings and not just ads.
5. Work through the disapprovals. Usual causes are missing GTINs, prices that don't match the site, and images with promotional text.
6. Make sure the product structured data on your pages shows the same price and availability as your feed.
One thing to watch this month: sale prices. If you change prices for Black Friday on the site but the feed lags behind, you can get mismatch warnings right when traffic peaks.
Has anyone here seen meaningful traffic from free listings alone, without running Shopping ads?</t>
  </si>
  <si>
    <t xml:space="preserve">Core Web Vitals thresholds every store should hit before peak</t>
  </si>
  <si>
    <t xml:space="preserve">Three numbers decide if your store feels fast on Black Friday.</t>
  </si>
  <si>
    <t xml:space="preserve">core web vitals for ecommerce</t>
  </si>
  <si>
    <t xml:space="preserve">LCP INP CLS thresholds, Shopify site speed, ecommerce page speed, mobile site speed SEO</t>
  </si>
  <si>
    <t xml:space="preserve">Google measures page experience with three Core Web Vitals.
Here are Google's own "good" thresholds:
→ LCP (Largest Contentful Paint): 2.5 seconds or less
How long your main image or headline takes to show.
→ INP (Interaction to Next Paint): 200 milliseconds or less
How fast the page reacts when someone taps "Add to cart" or a filter.
→ CLS (Cumulative Layout Shift): 0.1 or less
How much the page jumps around while loading.
Google assesses these at the 75th percentile of real visits, so your slow visitors count.
For stores, the usual culprits:
→ Huge hero images and sliders (LCP)
→ Too many apps and third-party scripts (INP)
→ Pop-ups, review widgets and banners loading late (CLS)
Check yours now: Search Console → Core Web Vitals → Mobile. Fix "Poor" URLs before traffic peaks, not during.
Comment "PEAKSPEED" and I'll send you the Pre-Peak Core Web Vitals Checklist.
#CoreWebVitals #PageSpeed #EcommerceSEO #ShopifySEO</t>
  </si>
  <si>
    <t xml:space="preserve">#CoreWebVitals #PageSpeed #EcommerceSEO #ShopifySEO</t>
  </si>
  <si>
    <t xml:space="preserve">3 numbers. Google's "good" thresholds:
→ LCP ≤ 2.5s (main content shows)
→ INP ≤ 200ms (page reacts to taps)
→ CLS ≤ 0.1 (page doesn't jump)
Store culprits: big sliders, too many apps, late pop-ups.
Check: Search Console → Core Web Vitals → Mobile. Fix "Poor" URLs first.
Save this before Black Friday.
Comment "PEAKSPEED" for the Pre-Peak Core Web Vitals Checklist.
#corewebvitals #pagespeed #sitespeed #ecommerceseo #shopifyseo #technicalseo #seotips #onlinestore #woocommerce #blackfriday #ecommercetips #shopifystore</t>
  </si>
  <si>
    <t xml:space="preserve">#corewebvitals #pagespeed #sitespeed #ecommerceseo #shopifyseo #technicalseo #seotips #onlinestore #woocommerce #blackfriday #ecommercetips #shopifystore</t>
  </si>
  <si>
    <t xml:space="preserve">Single image, data chart, 1080x1350. Headline: 3 NUMBERS THAT DECIDE IF YOUR STORE FEELS FAST. Sub-headline: Google's Core Web Vitals "good" thresholds.
Three horizontal gauge bars, each split into Good (green) / Needs improvement (amber) / Poor (red) using Google's published bands:
LCP: Good ≤2.5s | Needs improvement 2.5–4.0s | Poor &gt;4.0s | caption "Main image or headline appears"
INP: Good ≤200ms | Needs improvement 200–500ms | Poor &gt;500ms | caption "Page reacts to Add to cart / filters"
CLS: Good ≤0.1 | Needs improvement 0.1–0.25 | Poor &gt;0.25 | caption "Page doesn't jump while loading"
Below: "Common store culprits" three-cell table: LCP → oversized hero images &amp; sliders | INP → too many apps &amp; scripts | CLS → late pop-ups, review widgets, banners.
Small note: "Measured at the 75th percentile of real visits. Source: Google (web.dev)". Footer: "Check: Search Console → Core Web Vitals → Mobile" · Mehrooz Shafique · Permanent SEO | Banner: Comment "PEAKSPEED" for the checklist</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</si>
  <si>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"Three numbers decide if your store feels fast on Black Friday."
SUBHEAD: "Core Web Vitals thresholds every store should hit before peak"
MAIN VISUAL: the layout described below containing exactly: 
Single image, data chart, 1080x1350. Headline: 3 NUMBERS THAT DECIDE IF YOUR STORE FEELS FAST. Sub-headline: Google's Core Web Vitals "good" thresholds.
Three horizontal gauge bars, each split into Good (green) / Needs improvement (amber) / Poor (red) using Google's published bands:
LCP: Good ≤2.5s | Needs improvement 2.5–4.0s | Poor &gt;4.0s | caption "Main image or headline appears"
INP: Good ≤200ms | Needs improvement 200–500ms | Poor &gt;500ms | caption "Page reacts to Add to cart / filters"
CLS: Good ≤0.1 | Needs improvement 0.1–0.25 | Poor &gt;0.25 | caption "Page doesn't jump while loading"
Below: "Common store culprits" three-cell table: LCP → oversized hero images &amp; sliders | INP → too many apps &amp; scripts | CLS → late pop-ups, review widgets, banners.
Small note: "Measured at the 75th percentile of real visits. Source: Google (web.dev)". Footer: "Check: Search Console → Core Web Vitals → Mobile" · Mehrooz Shafique · Permanent SEO | Banner: Comment "PEAKSPEED" for the checklist
CTA BANNER (bottom, navy rounded box, white text, keyword in blue): Comment "PEAKSPEED" for Pre-Peak Core Web Vitals Checklist for Shopify &amp; WooCommerce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</si>
  <si>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"Three numbers decide if your store feels fast on Black Friday."
BODY (numbered points / simple visual): the 3–5 key points from this brief, shortened to max 8 words each:
Single image, data chart, 1080x1350. Headline: 3 NUMBERS THAT DECIDE IF YOUR STORE FEELS FAST. Sub-headline: Google's Core Web Vitals "good" thresholds.
Three horizontal gauge bars, each split into Good (green) / Needs improvement (amber) / Poor (red) using Google's published bands:
LCP: Good ≤2.5s | Needs improvement 2.5–4.0s | Poor &gt;4.0s | caption "Main image or headline appears"
INP: Good ≤200ms | Needs improvement 200–500ms | Poor &gt;500ms | caption "Page reacts to Add to cart / filters"
CLS: Good ≤0.1 | Needs improvement 0.1–0.25 | Poor &gt;0.25 | caption "Page doesn't jump while loading"
Below: "Common store culprits" three-cell table: LCP → oversized hero images &amp; sliders | INP → too many apps &amp; scripts | CLS → late pop-ups, review widgets, banners.
Small note: "Measured at the 75th percentile of real visits. Source: Google (web.dev)". Footer: "Check: Search Console → Core Web Vitals → Mobile" · Mehrooz Shafique · Permanent SEO | Banner: Comment "PEAKSPEED" for the checklist
BOTTOM BAR: Comment "PEAKSPEED" for Pre-Peak Core Web Vitals Checklist for Shopify &amp; WooCommerce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</si>
  <si>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PEAKSPEED</t>
  </si>
  <si>
    <t xml:space="preserve">Pre-Peak Core Web Vitals Checklist for Shopify &amp; WooCommerce (PDF)</t>
  </si>
  <si>
    <t xml:space="preserve">Google's Core Web Vitals "good" thresholds:
LCP ≤ 2.5s
INP ≤ 200ms
CLS ≤ 0.1
Store culprits: giant sliders, app scripts, late pop-ups.
Check Search Console → Core Web Vitals → Mobile before Black Friday. #CoreWebVitals #SEO</t>
  </si>
  <si>
    <t xml:space="preserve">Myth: category pages don't need written content</t>
  </si>
  <si>
    <t xml:space="preserve">We don't leave collection pages empty. We give them words.</t>
  </si>
  <si>
    <t xml:space="preserve">collection page SEO</t>
  </si>
  <si>
    <t xml:space="preserve">category page content, Shopify collection description, ecommerce category SEO, category page copy</t>
  </si>
  <si>
    <t xml:space="preserve">"It's a category page. People just want to see products."
That's true for the shopper. It's not the full story for Google.
A collection page with only a product grid gives Google very little to understand. Product names and prices. That's it.
Every competitor selling the same products has the same grid.
What makes your collection different:
→ A short intro (2–3 lines) above the grid saying what's in it and who it's for
→ Helpful copy below the grid: sizing, materials, how to choose
→ 3–5 FAQs people actually ask
→ Links to related collections
Not a wall of keyword-stuffed text. Useful words that help someone choose.
Products give the page stock. Words give it a reason to rank.
Comment "CATCOPY" and I'll send you the Collection Page Copy Template.
#EcommerceSEO #CategoryPages #ShopifySEO #SEOCopywriting</t>
  </si>
  <si>
    <t xml:space="preserve">#EcommerceSEO #CategoryPages #ShopifySEO #SEOCopywriting</t>
  </si>
  <si>
    <t xml:space="preserve">Empty collection page = nothing for Google to read.
→ 2–3 line intro above the grid
→ Buying help below it
→ 3–5 real FAQs
→ Links to related collections
Useful words. Not keyword stuffing.
Products give it stock. Words give it a reason to rank.
Share this with your copywriter or whoever edits your store.
Comment "CATCOPY" for the Collection Page Copy Template.
#ecommerceseo #shopifyseo #seocopywriting #collectionpage #seotips #onlinestore #woocommerce #ecommercetips #shopifystore #contentwriting #productcopy #smallbusiness</t>
  </si>
  <si>
    <t xml:space="preserve">#ecommerceseo #shopifyseo #seocopywriting #collectionpage #seotips #onlinestore #woocommerce #ecommercetips #shopifystore #contentwriting #productcopy #smallbusiness</t>
  </si>
  <si>
    <t xml:space="preserve">[0-3s] VO: We don't leave collection pages empty. | ON-SCREEN: WE DON'T LEAVE COLLECTION PAGES EMPTY. | VISUAL: Product grid with no text, wide empty header
[3-5s] VO: We give them words. | ON-SCREEN: WE GIVE THEM WORDS. | VISUAL: Text lines type in above the grid
[5-7s] VO: Most stores stop here. | ON-SCREEN: MOST STORES STOP AT: | VISUAL: Grid zooms out
[7-8s] VO: Photos. | ON-SCREEN: PHOTOS. | VISUAL: Image tiles
[8-9s] VO: Prices. | ON-SCREEN: PRICES. | VISUAL: Price tags
[9-10s] VO: Filters. | ON-SCREEN: FILTERS. | VISUAL: Filter sidebar
[10-13s] VO: But first, three things need to be on the page. | ON-SCREEN: BUT FIRST, 3 THINGS | VISUAL: Three slots appear
[13-16s] VO: What is in this collection? | ON-SCREEN: 1. WHAT'S IN IT? | VISUAL: Intro line highlights
[16-19s] VO: Who is it for? | ON-SCREEN: 2. WHO IS IT FOR? | VISUAL: Audience line highlights
[19-22s] VO: How do I choose? | ON-SCREEN: 3. HOW DO I CHOOSE? | VISUAL: FAQ accordion opens
[22-25s] VO: Without those answers, your page looks like every competitor's. | ON-SCREEN: = EVERY COMPETITOR'S PAGE | VISUAL: Five identical grids side by side
[25-27s] VO: Products give it stock. | ON-SCREEN: PRODUCTS GIVE IT STOCK. | VISUAL: Grid
[27-30s] VO: Words give it a reason to rank. | ON-SCREEN: WORDS GIVE IT A REASON TO RANK. | VISUAL: End card "Comment CATCOPY" + @Mehrooz ·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</si>
  <si>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[0-3s] VO: We don't leave collection pages empty. | ON-SCREEN: WE DON'T LEAVE COLLECTION PAGES EMPTY. | VISUAL: Product grid with no text, wide empty header
[3-5s] VO: We give them words. | ON-SCREEN: WE GIVE THEM WORDS. | VISUAL: Text lines type in above the grid
[5-7s] VO: Most stores stop here. | ON-SCREEN: MOST STORES STOP AT: | VISUAL: Grid zooms out
[7-8s] VO: Photos. | ON-SCREEN: PHOTOS. | VISUAL: Image tiles
[8-9s] VO: Prices. | ON-SCREEN: PRICES. | VISUAL: Price tags
[9-10s] VO: Filters. | ON-SCREEN: FILTERS. | VISUAL: Filter sidebar
[10-13s] VO: But first, three things need to be on the page. | ON-SCREEN: BUT FIRST, 3 THINGS | VISUAL: Three slots appear
[13-16s] VO: What is in this collection? | ON-SCREEN: 1. WHAT'S IN IT? | VISUAL: Intro line highlights
[16-19s] VO: Who is it for? | ON-SCREEN: 2. WHO IS IT FOR? | VISUAL: Audience line highlights
[19-22s] VO: How do I choose? | ON-SCREEN: 3. HOW DO I CHOOSE? | VISUAL: FAQ accordion opens
[22-25s] VO: Without those answers, your page looks like every competitor's. | ON-SCREEN: = EVERY COMPETITOR'S PAGE | VISUAL: Five identical grids side by side
[25-27s] VO: Products give it stock. | ON-SCREEN: PRODUCTS GIVE IT STOCK. | VISUAL: Grid
[27-30s] VO: Words give it a reason to rank. | ON-SCREEN: WORDS GIVE IT A REASON TO RANK. | VISUAL: End card "Comment CATCOPY" + @Mehrooz · Permanent SEO
Final 3 s: dark/navy end card with Permanent SEO logo, 'SEO for E-commerce Brands' and 'Comment "CATCOPY"'. Burned-in captions. All text spelled exactly as written, sharp and legible on mobile; no extra words, no watermarks.</t>
  </si>
  <si>
    <t xml:space="preserve">CATCOPY</t>
  </si>
  <si>
    <t xml:space="preserve">Collection Page Copy Template (intro, buying help and FAQ structure, Google Doc)</t>
  </si>
  <si>
    <t xml:space="preserve">A collection page with only a product grid looks like every competitor's.
Add:
→ 2–3 line intro
→ Buying help below the grid
→ 3–5 real FAQs
→ Related collection links
Products give it stock. Words give it a reason to rank. #EcommerceSEO</t>
  </si>
  <si>
    <t xml:space="preserve">Collection Page SEO: Why Category Pages Need Words</t>
  </si>
  <si>
    <t xml:space="preserve">Collection page SEO in 30 seconds: why an empty product grid struggles to rank and the three questions every category page should answer. #Shorts</t>
  </si>
  <si>
    <t xml:space="preserve">collection page SEO, category page SEO, shopify collection description, ecommerce SEO, category page content, shopify SEO, woocommerce SEO, SEO copywriting, online store SEO, Permanent SEO</t>
  </si>
  <si>
    <t xml:space="preserve">Site speed before peak traffic: the app bloat audit</t>
  </si>
  <si>
    <t xml:space="preserve">Every app you installed is still loading. Even the ones you forgot.</t>
  </si>
  <si>
    <t xml:space="preserve">shopify site speed optimization</t>
  </si>
  <si>
    <t xml:space="preserve">shopify app bloat, ecommerce page speed, speed up online store, third party scripts ecommerce</t>
  </si>
  <si>
    <t xml:space="preserve">Quick question: how many apps does your store run?
Now, how many of them do you actually use?
Most stores we audit have apps they tried once, uninstalled, and forgot. Some still leave code behind in the theme. Every script adds load time, mostly on mobile.
And in Black Friday week, when traffic is highest, slow pages hurt most.
The app bloat audit we run:
1. List every installed app and what it does
2. Remove anything unused or duplicated (two review apps, three pop-ups)
3. Check the theme for leftover code from removed apps
4. Test your top 5 pages on PageSpeed Insights, mobile
5. Compress and resize hero images and sliders
6. Delay non-essential scripts like chat widgets until after load
Do this a week before peak, not on the day. Then don't install anything new until December.
The video walks through it.
Comment "APPBLOAT" and I'll send you the App Bloat Audit Sheet.
#SiteSpeed #ShopifySEO #EcommerceSEO #CoreWebVitals</t>
  </si>
  <si>
    <t xml:space="preserve">#SiteSpeed #ShopifySEO #EcommerceSEO #CoreWebVitals</t>
  </si>
  <si>
    <t xml:space="preserve">Every app you installed is still loading. Even the forgotten ones.
1. List every app
2. Remove unused + duplicates
3. Clean leftover theme code
4. Test top 5 pages on mobile
5. Compress hero images
6. Delay chat widgets
Do it before peak. Not on the day. Then install nothing new until December.
Save this.
Comment "APPBLOAT" for the App Bloat Audit Sheet.
#sitespeed #pagespeed #shopifyseo #shopifyapps #ecommerceseo #corewebvitals #technicalseo #seotips #onlinestore #shopifystore #blackfriday #ecommercetips</t>
  </si>
  <si>
    <t xml:space="preserve">#sitespeed #pagespeed #shopifyseo #shopifyapps #ecommerceseo #corewebvitals #technicalseo #seotips #onlinestore #shopifystore #blackfriday #ecommercetips</t>
  </si>
  <si>
    <t xml:space="preserve">Scene 1 [0-10s] VO: "Okay, a review app, a pop-up app, another pop-up app... wait, why do I have three pop-up apps?" | VISUAL: Animated store owner scrolling a long app list, list keeps growing
Scene 2 [10-20s] VO: "Let's be honest. Your store isn't slow because of your products. It's slow because of everything loading around them." | VISUAL: Product page with dozens of script tags piling on top
Scene 3 [20-32s] VO: "Every app adds scripts. Some leave code behind even after you remove them. On a phone, on Black Friday, that's the moment shoppers wait and leave." | VISUAL: Phone loading bar crawling, a shopper icon walking away
Scene 4 [32-40s] VO: "Here's the app bloat audit we run at Permanent SEO before every peak season." | VISUAL: Logo, checklist appears
Scene 5 [40-52s] VO: "Step one. List every app. Remove anything unused or duplicated. Two review apps is one too many." | VISUAL: App list, items swiping off
Scene 6 [52-64s] VO: "Step two. Check your theme for leftover code from apps you already deleted." | VISUAL: Code editor, old snippet highlighted and removed
Scene 7 [64-76s] VO: "Step three. Test your top five pages on PageSpeed Insights, on mobile. Aim for LCP under two and a half seconds and INP under two hundred milliseconds." | VISUAL: PageSpeed gauge, thresholds labelled
Scene 8 [76-88s] VO: "Step four. Compress hero images. Delay chat widgets and anything that isn't needed to buy." | VISUAL: Image file size shrinking, chat bubble loading later
Scene 9 [88-96s] VO: "One store we worked with: [CLIENT RESULT: mobile LCP from Xs to Ys]." | VISUAL: Placeholder before/after card
Scene 10 [96-110s] VO: "Comment APPBLOAT for the audit sheet. Or book a free e-commerce SEO audit with Permanent SEO." | VISUAL: End card, keyword, Mehrooz + Permanent SEO</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</si>
  <si>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[0-10s] VO: "Okay, a review app, a pop-up app, another pop-up app... wait, why do I have three pop-up apps?" | VISUAL: Animated store owner scrolling a long app list, list keeps growing
Scene 2 [10-20s] VO: "Let's be honest. Your store isn't slow because of your products. It's slow because of everything loading around them." | VISUAL: Product page with dozens of script tags piling on top
Scene 3 [20-32s] VO: "Every app adds scripts. Some leave code behind even after you remove them. On a phone, on Black Friday, that's the moment shoppers wait and leave." | VISUAL: Phone loading bar crawling, a shopper icon walking away
Scene 4 [32-40s] VO: "Here's the app bloat audit we run at Permanent SEO before every peak season." | VISUAL: Logo, checklist appears
Scene 5 [40-52s] VO: "Step one. List every app. Remove anything unused or duplicated. Two review apps is one too many." | VISUAL: App list, items swiping off
Scene 6 [52-64s] VO: "Step two. Check your theme for leftover code from apps you already deleted." | VISUAL: Code editor, old snippet highlighted and removed
Scene 7 [64-76s] VO: "Step three. Test your top five pages on PageSpeed Insights, on mobile. Aim for LCP under two and a half seconds and INP under two hundred milliseconds." | VISUAL: PageSpeed gauge, thresholds labelled
Scene 8 [76-88s] VO: "Step four. Compress hero images. Delay chat widgets and anything that isn't needed to buy." | VISUAL: Image file size shrinking, chat bubble loading later
Scene 9 [88-96s] VO: "One store we worked with: [CLIENT RESULT: mobile LCP from Xs to Ys]." | VISUAL: Placeholder before/after card
Scene 10 [96-110s] VO: "Comment APPBLOAT for the audit sheet. Or book a free e-commerce SEO audit with Permanent SEO." | VISUAL: End card, keyword, Mehrooz + Permanent SEO
End card: Permanent SEO logo + 'Comment "APPBLOAT"'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</si>
  <si>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[0-10s] VO: "Okay, a review app, a pop-up app, another pop-up app... wait, why do I have three pop-up apps?" | VISUAL: Animated store owner scrolling a long app list, list keeps growing
Scene 2 [10-20s] VO: "Let's be honest. Your store isn't slow because of your products. It's slow because of everything loading around them." | VISUAL: Product page with dozens of script tags piling on top
Scene 3 [20-32s] VO: "Every app adds scripts. Some leave code behind even after you remove them. On a phone, on Black Friday, that's the moment shoppers wait and leave." | VISUAL: Phone loading bar crawling, a shopper icon walking away
Scene 4 [32-40s] VO: "Here's the app bloat audit we run at Permanent SEO before every peak season." | VISUAL: Logo, checklist appears
Scene 5 [40-52s] VO: "Step one. List every app. Remove anything unused or duplicated. Two review apps is one too many." | VISUAL: App list, items swiping off
Scene 6 [52-64s] VO: "Step two. Check your theme for leftover code from apps you already deleted." | VISUAL: Code editor, old snippet highlighted and removed
Scene 7 [64-76s] VO: "Step three. Test your top five pages on PageSpeed Insights, on mobile. Aim for LCP under two and a half seconds and INP under two hundred milliseconds." | VISUAL: PageSpeed gauge, thresholds labelled
Scene 8 [76-88s] VO: "Step four. Compress hero images. Delay chat widgets and anything that isn't needed to buy." | VISUAL: Image file size shrinking, chat bubble loading later
Scene 9 [88-96s] VO: "One store we worked with: [CLIENT RESULT: mobile LCP from Xs to Ys]." | VISUAL: Placeholder before/after card
Scene 10 [96-110s] VO: "Comment APPBLOAT for the audit sheet. Or book a free e-commerce SEO audit with Permanent SEO." | VISUAL: End card, keyword, Mehrooz + Permanent SEO
Final 3 s: dark/navy end card with Permanent SEO logo, 'SEO for E-commerce Brands' and 'Comment "APPBLOAT"'. Burned-in captions. All text spelled exactly as written, sharp and legible on mobile; no extra words, no watermarks.</t>
  </si>
  <si>
    <t xml:space="preserve">APPBLOAT</t>
  </si>
  <si>
    <t xml:space="preserve">App Bloat Audit Sheet (app inventory + speed test log, Google Sheet)</t>
  </si>
  <si>
    <t xml:space="preserve">Your store isn't slow because of your products. It's slow because of everything loading around them.
Before Black Friday:
→ Remove unused apps
→ Clean leftover theme code
→ Test top 5 pages on mobile
→ Compress hero images
#ShopifySEO</t>
  </si>
  <si>
    <t xml:space="preserve">Shopify Site Speed Optimization: The App Bloat Audit Before Peak</t>
  </si>
  <si>
    <t xml:space="preserve">Shopify site speed optimization before Black Friday. Mehrooz Shafique from Permanent SEO shows how unused apps and leftover scripts slow your store, and the audit to fix it before peak traffic.</t>
  </si>
  <si>
    <t xml:space="preserve">shopify site speed optimization, shopify app bloat, page speed, core web vitals, ecommerce SEO, shopify SEO, pagespeed insights, black friday prep, mobile site speed, Permanent SEO</t>
  </si>
  <si>
    <t xml:space="preserve">Prompt share: 5 AI prompts for Black Friday title tags and metas</t>
  </si>
  <si>
    <t xml:space="preserve">5 AI prompts I use to write Black Friday title tags.</t>
  </si>
  <si>
    <t xml:space="preserve">AI prompts for meta descriptions</t>
  </si>
  <si>
    <t xml:space="preserve">ChatGPT title tags, black friday meta description, ecommerce title tag examples, AI SEO prompts</t>
  </si>
  <si>
    <t xml:space="preserve">AI can write title tags. Most of what it writes is generic.
"Shop Amazing Black Friday Deals Today!" tells Google and shoppers nothing.
The fix is giving it the right inputs. These are 5 prompts I use for seasonal pages:
1. Title tag from real queries
"Here are the top 10 Search Console queries for this page: [PASTE]. Write 5 title tags under 60 characters that include the main query and the offer."
2. Meta description with specifics
"Write a meta description under 155 characters for [COLLECTION] mentioning [DISCOUNT], [DELIVERY CUT-OFF] and [RETURNS POLICY]."
3. Collection intro
"Write a 2-sentence intro for [COLLECTION] for [AUDIENCE]. No hype words."
4. FAQ generator
"List 5 questions buyers ask before buying [PRODUCT TYPE] in a sale."
5. Off-season rewrite
"Rewrite this Black Friday page intro for January, keeping the URL's purpose."
Always check facts before publishing. AI doesn't know your delivery dates.
Comment "METAPROMPTS" and I'll send you the full Seasonal SEO Prompt Pack.
#AIForSEO #EcommerceSEO #BlackFriday #ChatGPT</t>
  </si>
  <si>
    <t xml:space="preserve">#AIForSEO #EcommerceSEO #BlackFriday #ChatGPT</t>
  </si>
  <si>
    <t xml:space="preserve">5 AI prompts for Black Friday SEO:
→ Title tags from real Search Console queries
→ Meta descriptions with discount + delivery cut-off
→ 2-sentence collection intros
→ Pre-purchase FAQs
→ Off-season page rewrites
Give AI real inputs, like your actual Search Console queries. Check every fact before publishing. AI doesn't know your delivery dates.
Save this for your next update.
Comment "METAPROMPTS" for the Seasonal SEO Prompt Pack.
#aiprompts #chatgptprompts #ecommerceseo #blackfriday #shopifyseo #seotips #metadescription #titletags #onlinestore #ecommercetips #aiforbusiness #copywriting</t>
  </si>
  <si>
    <t xml:space="preserve">#aiprompts #chatgptprompts #ecommerceseo #blackfriday #shopifyseo #seotips #metadescription #titletags #onlinestore #ecommercetips #aiforbusiness #copywriting</t>
  </si>
  <si>
    <t xml:space="preserve">Single image "tool share", 1080x1350. Headline: 5 AI PROMPTS FOR BLACK FRIDAY TITLE TAGS. Sub-headline: Give it real inputs. Get useful output.
Layout: five stacked "chat bubble" cards, each with a number, prompt name and the prompt text in monospace, placeholders highlighted in accent colour:
01 TITLE TAG FROM REAL QUERIES — "Here are the top 10 Search Console queries for this page: [PASTE]. Write 5 title tags under 60 characters..."
02 META WITH SPECIFICS — "...under 155 characters for [COLLECTION] mentioning [DISCOUNT], [DELIVERY CUT-OFF], [RETURNS]."
03 COLLECTION INTRO — "Write a 2-sentence intro for [COLLECTION] for [AUDIENCE]. No hype words."
04 FAQ GENERATOR — "List 5 questions buyers ask before buying [PRODUCT TYPE] in a sale."
05 OFF-SEASON REWRITE — "Rewrite this Black Friday intro for January..."
Side callout: ❌ "Shop Amazing Black Friday Deals Today!" vs ✅ "Running Shoes Black Friday Sale: Up to [X]% Off | [Brand]". Footer warning strip: "Check facts. AI doesn't know your delivery dates." Banner: Comment "METAPROMPTS" for the full prompt pack.</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</si>
  <si>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"5 AI prompts I use to write Black Friday title tags."
SUBHEAD: "Prompt share: 5 AI prompts for Black Friday title tags and metas"
MAIN VISUAL: the layout described below containing exactly: 
Single image "tool share", 1080x1350. Headline: 5 AI PROMPTS FOR BLACK FRIDAY TITLE TAGS. Sub-headline: Give it real inputs. Get useful output.
Layout: five stacked "chat bubble" cards, each with a number, prompt name and the prompt text in monospace, placeholders highlighted in accent colour:
01 TITLE TAG FROM REAL QUERIES — "Here are the top 10 Search Console queries for this page: [PASTE]. Write 5 title tags under 60 characters..."
02 META WITH SPECIFICS — "...under 155 characters for [COLLECTION] mentioning [DISCOUNT], [DELIVERY CUT-OFF], [RETURNS]."
03 COLLECTION INTRO — "Write a 2-sentence intro for [COLLECTION] for [AUDIENCE]. No hype words."
04 FAQ GENERATOR — "List 5 questions buyers ask before buying [PRODUCT TYPE] in a sale."
05 OFF-SEASON REWRITE — "Rewrite this Black Friday intro for January..."
Side callout: ❌ "Shop Amazing Black Friday Deals Today!" vs ✅ "Running Shoes Black Friday Sale: Up to [X]% Off | [Brand]". Footer warning strip: "Check facts. AI doesn't know your delivery dates." Banner: Comment "METAPROMPTS" for the full prompt pack.
CTA BANNER (bottom, navy rounded box, white text, keyword in blue): Comment "METAPROMPTS" for Seasonal SEO Prompt Pack (15 ChatGPT/Claude prompts for titles, metas, intros and FAQs)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</si>
  <si>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"5 AI prompts I use to write Black Friday title tags."
BODY (numbered points / simple visual): the 3–5 key points from this brief, shortened to max 8 words each:
Single image "tool share", 1080x1350. Headline: 5 AI PROMPTS FOR BLACK FRIDAY TITLE TAGS. Sub-headline: Give it real inputs. Get useful output.
Layout: five stacked "chat bubble" cards, each with a number, prompt name and the prompt text in monospace, placeholders highlighted in accent colour:
01 TITLE TAG FROM REAL QUERIES — "Here are the top 10 Search Console queries for this page: [PASTE]. Write 5 title tags under 60 characters..."
02 META WITH SPECIFICS — "...under 155 characters for [COLLECTION] mentioning [DISCOUNT], [DELIVERY CUT-OFF], [RETURNS]."
03 COLLECTION INTRO — "Write a 2-sentence intro for [COLLECTION] for [AUDIENCE]. No hype words."
04 FAQ GENERATOR — "List 5 questions buyers ask before buying [PRODUCT TYPE] in a sale."
05 OFF-SEASON REWRITE — "Rewrite this Black Friday intro for January..."
Side callout: ❌ "Shop Amazing Black Friday Deals Today!" vs ✅ "Running Shoes Black Friday Sale: Up to [X]% Off | [Brand]". Footer warning strip: "Check facts. AI doesn't know your delivery dates." Banner: Comment "METAPROMPTS" for the full prompt pack.
BOTTOM BAR: Comment "METAPROMPTS" for Seasonal SEO Prompt Pack (15 ChatGPT/Claude prompts for titles, metas, intros and FAQs)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</si>
  <si>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METAPROMPTS</t>
  </si>
  <si>
    <t xml:space="preserve">Seasonal SEO Prompt Pack (15 ChatGPT/Claude prompts for titles, metas, intros and FAQs)</t>
  </si>
  <si>
    <t xml:space="preserve">AI writes generic title tags because we give it generic inputs.
Better: paste your top 10 Search Console queries for the page and ask for 5 titles under 60 characters with the offer in them.
Then check every fact. #AIForSEO #BlackFriday</t>
  </si>
  <si>
    <t xml:space="preserve">Black Friday week: the final 7-day store SEO checklist</t>
  </si>
  <si>
    <t xml:space="preserve">Black Friday is Friday. Here's your SEO checklist for this week.</t>
  </si>
  <si>
    <t xml:space="preserve">black friday SEO checklist for ecommerce</t>
  </si>
  <si>
    <t xml:space="preserve">BFCM week SEO, last minute black friday SEO, black friday store prep, cyber monday SEO checklist</t>
  </si>
  <si>
    <t xml:space="preserve">Black Friday is this Friday, 27 November. Cyber Monday is 30 November.
This is not the week for a redesign. It's the week to make sure nothing breaks.
Here's the 7-day checklist, one job per day:
Mon → Confirm your permanent /black-friday page is indexed (URL Inspection in Search Console)
Tue → Homepage and menu link to the seasonal hub
Wed → Sale prices match between site, structured data and Merchant Center feed
Thu → Test top 5 sale pages on mobile speed
Fri → Watch out-of-stock products. Keep pages live, link alternatives
Sat → Check Search Console for crawl or indexing errors on sale URLs
Sun → Prepare the Cyber Monday update on the same hub, not a new page
And one rule: no new apps, no theme changes, no URL changes this week.
Swipe through for what to check each day.
Comment "LAUNCHWEEK" and I'll send you the Black Friday Week SEO Checklist.
#BlackFriday #CyberMonday #EcommerceSEO #ShopifySEO</t>
  </si>
  <si>
    <t xml:space="preserve">Black Friday is Friday. Your 7-day SEO checklist:
Mon → Seasonal page indexed?
Tue → Homepage + menu links
Wed → Prices match site + feed
Thu → Mobile speed test
Fri → Out-of-stock pages stay live
Sat → Search Console errors
Sun → Cyber Monday on the same page
No new apps. No theme changes this week.
Save this.
Comment "LAUNCHWEEK" for the Black Friday Week SEO Checklist.
#blackfriday #cybermonday #bfcm #blackfridayweek #ecommerceseo #shopifyseo #seotips #onlinestore #ecommercetips #shopifystore #woocommerce #smallbusiness #holidaysales</t>
  </si>
  <si>
    <t xml:space="preserve">#blackfriday #cybermonday #bfcm #blackfridayweek #ecommerceseo #shopifyseo #seotips #onlinestore #ecommercetips #shopifystore #woocommerce #smallbusiness #holidaysales</t>
  </si>
  <si>
    <t xml:space="preserve">Slide 1: Black Friday is Friday. | Your 7-day store SEO checklist. One job per day.
Slide 2: Rule for this week | No redesigns. No new apps. No URL changes. Protect what works.
Slide 3: Monday: Is your seasonal page indexed? | Search Console → URL Inspection → your /black-friday URL. If not indexed, request indexing.
Slide 4: Tuesday: Links | Homepage banner and main menu both link to the seasonal hub. Hub links to every deal collection.
Slide 5: Wednesday: Prices | Sale price on page = price in structured data = price in Merchant Center feed.
Slide 6: Thursday: Speed | Test your top 5 sale pages on PageSpeed Insights, mobile. Remove anything heavy you added for the sale.
Slide 7: Friday: Stock | Products sell out. Keep the pages live, show "back soon", link alternatives.
Slide 8: Saturday: Errors | Search Console → Pages. Any sale URLs not indexed or returning errors?
Slide 9: Sunday: Cyber Monday | Update the same hub page for Cyber Monday. Don't create a new URL.
Slide 10: Comment "LAUNCHWEEK" | Get the Black Friday Week SEO Checklist. Follow Mehrooz for more store SEO.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</si>
  <si>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Black Friday is Friday. | Your 7-day store SEO checklist. One job per day.
Slide 2: Rule for this week | No redesigns. No new apps. No URL changes. Protect what works.
Slide 3: Monday: Is your seasonal page indexed? | Search Console → URL Inspection → your /black-friday URL. If not indexed, request indexing.
Slide 4: Tuesday: Links | Homepage banner and main menu both link to the seasonal hub. Hub links to every deal collection.
Slide 5: Wednesday: Prices | Sale price on page = price in structured data = price in Merchant Center feed.
Slide 6: Thursday: Speed | Test your top 5 sale pages on PageSpeed Insights, mobile. Remove anything heavy you added for the sale.
Slide 7: Friday: Stock | Products sell out. Keep the pages live, show "back soon", link alternatives.
Slide 8: Saturday: Errors | Search Console → Pages. Any sale URLs not indexed or returning errors?
Slide 9: Sunday: Cyber Monday | Update the same hub page for Cyber Monday. Don't create a new URL.
Slide 10: Comment "LAUNCHWEEK" | Get the Black Friday Week SEO Checklist. Follow Mehrooz for more store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</si>
  <si>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Black Friday is Friday. | Your 7-day store SEO checklist. One job per day.
Slide 2: Rule for this week | No redesigns. No new apps. No URL changes. Protect what works.
Slide 3: Monday: Is your seasonal page indexed? | Search Console → URL Inspection → your /black-friday URL. If not indexed, request indexing.
Slide 4: Tuesday: Links | Homepage banner and main menu both link to the seasonal hub. Hub links to every deal collection.
Slide 5: Wednesday: Prices | Sale price on page = price in structured data = price in Merchant Center feed.
Slide 6: Thursday: Speed | Test your top 5 sale pages on PageSpeed Insights, mobile. Remove anything heavy you added for the sale.
Slide 7: Friday: Stock | Products sell out. Keep the pages live, show "back soon", link alternatives.
Slide 8: Saturday: Errors | Search Console → Pages. Any sale URLs not indexed or returning errors?
Slide 9: Sunday: Cyber Monday | Update the same hub page for Cyber Monday. Don't create a new URL.
Slide 10: Comment "LAUNCHWEEK" | Get the Black Friday Week SEO Checklist. Follow Mehrooz for more store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</si>
  <si>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LAUNCHWEEK</t>
  </si>
  <si>
    <t xml:space="preserve">Black Friday Week SEO Checklist (7-day printable PDF)</t>
  </si>
  <si>
    <t xml:space="preserve">Black Friday is Friday.
This isn't the week for a redesign. It's the week to make sure nothing breaks.
7-day store SEO checklist, one job per day
---
Mon: Is your /black-friday page indexed? Check with URL Inspection in Search Console.
Tue: Homepage and main menu link to the seasonal hub.
---
Wed: Sale price on the page = structured data = Merchant Center feed.
Thu: Test your top 5 sale pages for mobile speed.
---
Fri: Products will sell out. Keep the pages live and link alternatives.
Sat: Check the Pages report for errors on sale URLs.
---
Sun: Update the same hub for Cyber Monday. Don't create a new URL.
---
One rule all week: no new apps, no theme changes, no URL changes.
Protect what already works. #BlackFriday #EcommerceSEO</t>
  </si>
  <si>
    <t xml:space="preserve">A simple 7-day SEO checklist for Black Friday week (no big changes needed)</t>
  </si>
  <si>
    <t xml:space="preserve">Black Friday week is not the time for big SEO projects, but there are a few checks worth doing so nothing breaks while traffic is high. Here's what I go through with stores, one job per day.
Mon: Check your Black Friday page is indexed using URL Inspection in Search Console.
Tue: Make sure the homepage and main menu link to your sale hub, and the hub links to each deal collection.
Wed: Confirm sale prices match across the product page, structured data and your Merchant Center feed.
Thu: Run your top 5 sale pages through PageSpeed Insights on mobile. Remove any heavy banner or app you added just for the sale.
Fri: When products sell out, keep the pages live with a back-in-stock option and links to alternatives.
Sat: Look at the Pages report for errors on sale URLs.
Sun: Update the same page for Cyber Monday rather than creating a new URL.
General rule: no new apps, theme edits or URL changes until December.
What's the one thing that broke on your store during a past Black Friday?</t>
  </si>
  <si>
    <t xml:space="preserve">Read your Search Console like a seasonal forecast</t>
  </si>
  <si>
    <t xml:space="preserve">Last November's Search Console data is this November's to-do list.</t>
  </si>
  <si>
    <t xml:space="preserve">search console year over year comparison</t>
  </si>
  <si>
    <t xml:space="preserve">seasonal search trends ecommerce, GSC compare dates, black friday search queries, seasonal keyword data</t>
  </si>
  <si>
    <t xml:space="preserve">Your best Black Friday forecast is already in your store's data.
Search Console keeps 16 months of performance data. That means you can still see last November.
Here's how to read it:
1. Performance → Date → Compare → this period vs the same period last year
2. Switch to Queries. Sort by "Difference" in impressions
3. Look for three groups:
→ Queries that grew last November and are already rising again: protect those pages this week
→ Queries that grew last November but are flat now: check if the page that ranked still exists
→ New queries with impressions but low clicks: rewrite those titles before Friday
4. Switch to Pages. Any URL that earned clicks last November and shows nothing now is worth checking. Deleted? Redirected? Not indexed?
Your numbers: [YOUR GSC DATA: top 5 queries by YoY impression change]
The image shows exactly which buttons to press.
Comment "SEASONDATA" and I'll send you the Year-over-Year Search Console Review Template.
#GoogleSearchConsole #EcommerceSEO #SEOData #BlackFriday</t>
  </si>
  <si>
    <t xml:space="preserve">#GoogleSearchConsole #EcommerceSEO #SEOData #BlackFriday</t>
  </si>
  <si>
    <t xml:space="preserve">Last November's data = this November's to-do list.
Search Console → Performance → Compare dates:
→ Queries rising again: protect those pages
→ Queries flat now: did the page get deleted?
→ High impressions, low clicks: rewrite titles
Search Console keeps 16 months of data. Last November is still in there. Use it.
Save this.
Comment "SEASONDATA" for the Year-over-Year Search Console Review Template.
#googlesearchconsole #seodata #ecommerceseo #shopifyseo #seotips #blackfriday #onlinestore #seoanalytics #woocommerce #ecommercetips #shopifystore #dataanalysis</t>
  </si>
  <si>
    <t xml:space="preserve">#googlesearchconsole #seodata #ecommerceseo #shopifyseo #seotips #blackfriday #onlinestore #seoanalytics #woocommerce #ecommercetips #shopifystore #dataanalysis</t>
  </si>
  <si>
    <t xml:space="preserve">Single image, annotated screenshot, 1080x1350. Headline: LAST NOVEMBER'S DATA IS THIS NOVEMBER'S TO-DO LIST. Sub-headline: Search Console year-over-year in 4 clicks.
Main visual: a stylised (not real-client) Search Console Performance screen with numbered annotation circles:
① Date filter → "Compare" tab → "Same period last year"
② Queries tab
③ Sort by "Impressions difference"
④ Pages tab
Right-side legend, three colour-coded rows matching highlighted query rows in the mock table:
GREEN "Rising again" → protect these pages this week
AMBER "Flat now" → check the old page still exists
BLUE "High impressions, low clicks" → rewrite title before Friday
Mock table uses placeholder rows: [query 1] [query 2] [query 3] with [X] values (no fake numbers).
Note strip: "Search Console stores 16 months of performance data." Footer: Mehrooz Shafique · Permanent SEO | Banner: Comment "SEASONDATA" for the template</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</si>
  <si>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"Last November's Search Console data is this November's to-do list."
SUBHEAD: "Read your Search Console like a seasonal forecast"
MAIN VISUAL: the layout described below containing exactly: 
Single image, annotated screenshot, 1080x1350. Headline: LAST NOVEMBER'S DATA IS THIS NOVEMBER'S TO-DO LIST. Sub-headline: Search Console year-over-year in 4 clicks.
Main visual: a stylised (not real-client) Search Console Performance screen with numbered annotation circles:
① Date filter → "Compare" tab → "Same period last year"
② Queries tab
③ Sort by "Impressions difference"
④ Pages tab
Right-side legend, three colour-coded rows matching highlighted query rows in the mock table:
GREEN "Rising again" → protect these pages this week
AMBER "Flat now" → check the old page still exists
BLUE "High impressions, low clicks" → rewrite title before Friday
Mock table uses placeholder rows: [query 1] [query 2] [query 3] with [X] values (no fake numbers).
Note strip: "Search Console stores 16 months of performance data." Footer: Mehrooz Shafique · Permanent SEO | Banner: Comment "SEASONDATA" for the template
CTA BANNER (bottom, navy rounded box, white text, keyword in blue): Comment "SEASONDATA" for Year-over-Year Search Console Review Template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</si>
  <si>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"Last November's Search Console data is this November's to-do list."
BODY (numbered points / simple visual): the 3–5 key points from this brief, shortened to max 8 words each:
Single image, annotated screenshot, 1080x1350. Headline: LAST NOVEMBER'S DATA IS THIS NOVEMBER'S TO-DO LIST. Sub-headline: Search Console year-over-year in 4 clicks.
Main visual: a stylised (not real-client) Search Console Performance screen with numbered annotation circles:
① Date filter → "Compare" tab → "Same period last year"
② Queries tab
③ Sort by "Impressions difference"
④ Pages tab
Right-side legend, three colour-coded rows matching highlighted query rows in the mock table:
GREEN "Rising again" → protect these pages this week
AMBER "Flat now" → check the old page still exists
BLUE "High impressions, low clicks" → rewrite title before Friday
Mock table uses placeholder rows: [query 1] [query 2] [query 3] with [X] values (no fake numbers).
Note strip: "Search Console stores 16 months of performance data." Footer: Mehrooz Shafique · Permanent SEO | Banner: Comment "SEASONDATA" for the template
BOTTOM BAR: Comment "SEASONDATA" for Year-over-Year Search Console Review Template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</si>
  <si>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SEASONDATA</t>
  </si>
  <si>
    <t xml:space="preserve">Year-over-Year Search Console Review Template (Google Sheet)</t>
  </si>
  <si>
    <t xml:space="preserve">Search Console keeps 16 months of data. Last November is still in there.
Performance → Compare → same period last year → Queries.
Rising again → protect.
Flat → check the page still exists.
Low CTR → rewrite the title. #SEO</t>
  </si>
  <si>
    <t xml:space="preserve">Myth: more traffic means more sales</t>
  </si>
  <si>
    <t xml:space="preserve">We don't chase traffic. We chase buying searches.</t>
  </si>
  <si>
    <t xml:space="preserve">ecommerce keyword intent</t>
  </si>
  <si>
    <t xml:space="preserve">buying intent keywords, commercial keywords ecommerce, transactional keywords, organic revenue SEO</t>
  </si>
  <si>
    <t xml:space="preserve">A store can double its traffic and not sell one extra product.
It happens when the traffic comes from the wrong searches.
Blog posts ranking for "what is linen". Visitors who read and leave. The graph goes up. Revenue doesn't.
Before chasing more traffic, we ask three questions:
→ Is this search from someone ready to buy, or just curious?
→ Does it land on a page where they can actually buy?
→ Is there a clear next step on that page?
This week especially, focus on searches with buying words in them: "buy", "sale", "deal", "black friday", brand + product names, sizes and colours.
Traffic is a number. Revenue is the point.
Comment "BUYINTENT" and I'll send you the Buying-Intent Keyword Finder Sheet.
#EcommerceSEO #KeywordResearch #SearchIntent #BlackFriday</t>
  </si>
  <si>
    <t xml:space="preserve">#EcommerceSEO #KeywordResearch #SearchIntent #BlackFriday</t>
  </si>
  <si>
    <t xml:space="preserve">More traffic doesn't always mean more sales.
Ask 3 questions:
→ Is this searcher ready to buy?
→ Can they buy on the page they land on?
→ Is the next step clear?
Focus on buying words: "sale", "deal", "black friday", model names, sizes.
Traffic is a number. Revenue is the point.
Comment "BUYINTENT" for the Buying-Intent Keyword Finder Sheet.
#ecommerceseo #keywordresearch #searchintent #shopifyseo #seotips #onlinestore #blackfriday #ecommercetips #woocommerce #shopifystore #seostrategy #ecommercemarketing</t>
  </si>
  <si>
    <t xml:space="preserve">#ecommerceseo #keywordresearch #searchintent #shopifyseo #seotips #onlinestore #blackfriday #ecommercetips #woocommerce #shopifystore #seostrategy #ecommercemarketing</t>
  </si>
  <si>
    <t xml:space="preserve">[0-3s] VO: We don't chase traffic. | ON-SCREEN: WE DON'T CHASE TRAFFIC. | VISUAL: Traffic graph shooting up, then frozen
[3-5s] VO: We chase searches from people ready to buy. | ON-SCREEN: WE CHASE BUYING SEARCHES. | VISUAL: Search bar typing "linen sheets black friday"
[5-7s] VO: Most reports celebrate this. | ON-SCREEN: MOST REPORTS CELEBRATE: | VISUAL: Dashboard with confetti
[7-8s] VO: Sessions. | ON-SCREEN: SESSIONS. | VISUAL: Number ticking up
[8-9s] VO: Impressions. | ON-SCREEN: IMPRESSIONS. | VISUAL: Number ticking up
[9-10s] VO: Rankings. | ON-SCREEN: RANKINGS. | VISUAL: Position badge
[10-13s] VO: But first, three things need to be true. | ON-SCREEN: BUT FIRST, 3 THINGS | VISUAL: Three cards
[13-16s] VO: Is the searcher ready to buy? | ON-SCREEN: 1. READY TO BUY? | VISUAL: Wallet icon
[16-19s] VO: Can they buy on that page? | ON-SCREEN: 2. CAN THEY BUY HERE? | VISUAL: Add to cart button
[19-22s] VO: Is the next step clear? | ON-SCREEN: 3. IS THE NEXT STEP CLEAR? | VISUAL: Arrow to checkout
[22-25s] VO: Without that, more traffic doesn't create more sales. | ON-SCREEN: TRAFFIC ≠ SALES | VISUAL: Graph up, revenue line flat
[25-27s] VO: It creates visitors. | ON-SCREEN: IT CREATES VISITORS. | VISUAL: Crowd walking past a shop
[27-30s] VO: Traffic is a number. Revenue is the point. | ON-SCREEN: TRAFFIC IS A NUMBER. REVENUE IS THE POINT. | VISUAL: End card "Comment BUYINTENT" + @Mehrooz ·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</si>
  <si>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[0-3s] VO: We don't chase traffic. | ON-SCREEN: WE DON'T CHASE TRAFFIC. | VISUAL: Traffic graph shooting up, then frozen
[3-5s] VO: We chase searches from people ready to buy. | ON-SCREEN: WE CHASE BUYING SEARCHES. | VISUAL: Search bar typing "linen sheets black friday"
[5-7s] VO: Most reports celebrate this. | ON-SCREEN: MOST REPORTS CELEBRATE: | VISUAL: Dashboard with confetti
[7-8s] VO: Sessions. | ON-SCREEN: SESSIONS. | VISUAL: Number ticking up
[8-9s] VO: Impressions. | ON-SCREEN: IMPRESSIONS. | VISUAL: Number ticking up
[9-10s] VO: Rankings. | ON-SCREEN: RANKINGS. | VISUAL: Position badge
[10-13s] VO: But first, three things need to be true. | ON-SCREEN: BUT FIRST, 3 THINGS | VISUAL: Three cards
[13-16s] VO: Is the searcher ready to buy? | ON-SCREEN: 1. READY TO BUY? | VISUAL: Wallet icon
[16-19s] VO: Can they buy on that page? | ON-SCREEN: 2. CAN THEY BUY HERE? | VISUAL: Add to cart button
[19-22s] VO: Is the next step clear? | ON-SCREEN: 3. IS THE NEXT STEP CLEAR? | VISUAL: Arrow to checkout
[22-25s] VO: Without that, more traffic doesn't create more sales. | ON-SCREEN: TRAFFIC ≠ SALES | VISUAL: Graph up, revenue line flat
[25-27s] VO: It creates visitors. | ON-SCREEN: IT CREATES VISITORS. | VISUAL: Crowd walking past a shop
[27-30s] VO: Traffic is a number. Revenue is the point. | ON-SCREEN: TRAFFIC IS A NUMBER. REVENUE IS THE POINT. | VISUAL: End card "Comment BUYINTENT" + @Mehrooz · Permanent SEO
Final 3 s: dark/navy end card with Permanent SEO logo, 'SEO for E-commerce Brands' and 'Comment "BUYINTENT"'. Burned-in captions. All text spelled exactly as written, sharp and legible on mobile; no extra words, no watermarks.</t>
  </si>
  <si>
    <t xml:space="preserve">BUYINTENT</t>
  </si>
  <si>
    <t xml:space="preserve">Buying-Intent Keyword Finder Sheet (Search Console filters + modifier list, Google Sheet)</t>
  </si>
  <si>
    <t xml:space="preserve">A store can double its traffic and not sell one more product.
Before chasing traffic, ask:
→ Is this searcher ready to buy?
→ Can they buy on that page?
→ Is the next step clear?
Traffic is a number. Revenue is the point. #EcommerceSEO</t>
  </si>
  <si>
    <t xml:space="preserve">Ecommerce Keyword Intent: Why More Traffic Doesn't Mean More Sales</t>
  </si>
  <si>
    <t xml:space="preserve">Ecommerce keyword intent in 30 seconds: why traffic from the wrong searches doesn't sell, and three questions to ask before chasing any keyword. #Shorts</t>
  </si>
  <si>
    <t xml:space="preserve">ecommerce keyword intent, buying intent keywords, transactional keywords, ecommerce SEO, shopify SEO, keyword research, search intent, black friday SEO, organic revenue, Permanent SEO</t>
  </si>
  <si>
    <t xml:space="preserve">The Permanent SEO approach: build once, rank every season</t>
  </si>
  <si>
    <t xml:space="preserve">Most SEO resets every season. Ours is built to stay.</t>
  </si>
  <si>
    <t xml:space="preserve">ecommerce SEO agency</t>
  </si>
  <si>
    <t xml:space="preserve">long term ecommerce SEO, Shopify SEO services, sustainable SEO strategy, Permanent SEO approach</t>
  </si>
  <si>
    <t xml:space="preserve">There's a reason our agency is called Permanent SEO.
Most store SEO I see is temporary. A new page for every sale. A new tactic every quarter. Links that disappear. Rankings that drop the moment the work stops.
We build the opposite way. Four parts:
1. Foundations first
Indexing, canonicals, speed, site structure. If Google can't crawl it properly, nothing else sticks.
2. Pages that match intent
Categories for comparing, products for buying, guides for learning. One intent, one URL.
3. Assets that compound
Permanent seasonal pages. Collections with real content. Internal links that point authority where revenue is.
4. Visibility in AI search
Clear entities, structured data and content that ChatGPT, Gemini and Google's AI features can understand and cite.
No link farms. No tricks that work for a month.
The goal is simple: work you pay for once keeps working next year.
Comment "PERMANENT" and I'll send you our Permanent SEO Framework one-pager.
#EcommerceSEO #PermanentSEO #ShopifySEO #SEOStrategy</t>
  </si>
  <si>
    <t xml:space="preserve">#EcommerceSEO #PermanentSEO #ShopifySEO #SEOStrategy</t>
  </si>
  <si>
    <t xml:space="preserve">Most SEO resets every season. Ours is built to stay.
1. Foundations first
2. Pages that match intent
3. Assets that compound
4. Visibility in AI search
No link farms. No one-month tricks.
Work you pay for once keeps working next year.
Share this with a store owner tired of starting over.
Comment "PERMANENT" for the Permanent SEO Framework one-pager.
#ecommerceseo #seostrategy #shopifyseo #seoagency #seotips #onlinestore #longtermgrowth #woocommerce #aisearch #ecommercetips #shopifystore #organicgrowth</t>
  </si>
  <si>
    <t xml:space="preserve">#ecommerceseo #seostrategy #shopifyseo #seoagency #seotips #onlinestore #longtermgrowth #woocommerce #aisearch #ecommercetips #shopifystore #organicgrowth</t>
  </si>
  <si>
    <t xml:space="preserve">Scene 1 [0-10s] VO: "New sale, new landing page. New quarter, new SEO tactic. And somehow... we're back where we started. Again." | VISUAL: Store owner on a hamster wheel made of calendar pages
Scene 2 [10-20s] VO: "Let's be honest. Your store doesn't have a traffic problem. It has a reset problem. Every season the work disappears." | VISUAL: Traffic graph rising and falling in a saw pattern
Scene 3 [20-30s] VO: "Pages deleted after the sale. Links that vanish. Rankings that fall the moment someone stops pushing." | VISUAL: Pages crumbling, links snapping
Scene 4 [30-38s] VO: "That's why we built Permanent SEO. SEO that's built once and keeps working." | VISUAL: Logo, a solid foundation block lands
Scene 5 [38-50s] VO: "First, foundations. Indexing, canonicals, speed and site structure. If Google can't crawl it properly, nothing else sticks." | VISUAL: Foundation layer with labels
Scene 6 [50-62s] VO: "Second, pages that match intent. Categories to compare. Products to buy. Guides to learn." | VISUAL: Three page types slot onto the foundation
Scene 7 [62-74s] VO: "Third, assets that compound. Permanent seasonal pages. Collections with real content. Internal links pointing to where revenue is." | VISUAL: Building grows a floor each year, labelled 2026, 2027, 2028
Scene 8 [74-86s] VO: "Fourth, visibility in AI search. Clear structured data and content ChatGPT and Google's AI features can understand." | VISUAL: AI answer panel citing the store
Scene 9 [86-94s] VO: "No spam. No link farms. Here's what that looks like for a client: [CLIENT RESULT: organic revenue year over year]." | VISUAL: Placeholder results card
Scene 10 [94-110s] VO: "Comment PERMANENT for the framework. Or book a free e-commerce SEO audit with Permanent SEO." | VISUAL: End card, keyword, Mehrooz + Permanent SEO</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</si>
  <si>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[0-10s] VO: "New sale, new landing page. New quarter, new SEO tactic. And somehow... we're back where we started. Again." | VISUAL: Store owner on a hamster wheel made of calendar pages
Scene 2 [10-20s] VO: "Let's be honest. Your store doesn't have a traffic problem. It has a reset problem. Every season the work disappears." | VISUAL: Traffic graph rising and falling in a saw pattern
Scene 3 [20-30s] VO: "Pages deleted after the sale. Links that vanish. Rankings that fall the moment someone stops pushing." | VISUAL: Pages crumbling, links snapping
Scene 4 [30-38s] VO: "That's why we built Permanent SEO. SEO that's built once and keeps working." | VISUAL: Logo, a solid foundation block lands
Scene 5 [38-50s] VO: "First, foundations. Indexing, canonicals, speed and site structure. If Google can't crawl it properly, nothing else sticks." | VISUAL: Foundation layer with labels
Scene 6 [50-62s] VO: "Second, pages that match intent. Categories to compare. Products to buy. Guides to learn." | VISUAL: Three page types slot onto the foundation
Scene 7 [62-74s] VO: "Third, assets that compound. Permanent seasonal pages. Collections with real content. Internal links pointing to where revenue is." | VISUAL: Building grows a floor each year, labelled 2026, 2027, 2028
Scene 8 [74-86s] VO: "Fourth, visibility in AI search. Clear structured data and content ChatGPT and Google's AI features can understand." | VISUAL: AI answer panel citing the store
Scene 9 [86-94s] VO: "No spam. No link farms. Here's what that looks like for a client: [CLIENT RESULT: organic revenue year over year]." | VISUAL: Placeholder results card
Scene 10 [94-110s] VO: "Comment PERMANENT for the framework. Or book a free e-commerce SEO audit with Permanent SEO." | VISUAL: End card, keyword, Mehrooz + Permanent SEO
End card: Permanent SEO logo + 'Comment "PERMANENT"'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</si>
  <si>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[0-10s] VO: "New sale, new landing page. New quarter, new SEO tactic. And somehow... we're back where we started. Again." | VISUAL: Store owner on a hamster wheel made of calendar pages
Scene 2 [10-20s] VO: "Let's be honest. Your store doesn't have a traffic problem. It has a reset problem. Every season the work disappears." | VISUAL: Traffic graph rising and falling in a saw pattern
Scene 3 [20-30s] VO: "Pages deleted after the sale. Links that vanish. Rankings that fall the moment someone stops pushing." | VISUAL: Pages crumbling, links snapping
Scene 4 [30-38s] VO: "That's why we built Permanent SEO. SEO that's built once and keeps working." | VISUAL: Logo, a solid foundation block lands
Scene 5 [38-50s] VO: "First, foundations. Indexing, canonicals, speed and site structure. If Google can't crawl it properly, nothing else sticks." | VISUAL: Foundation layer with labels
Scene 6 [50-62s] VO: "Second, pages that match intent. Categories to compare. Products to buy. Guides to learn." | VISUAL: Three page types slot onto the foundation
Scene 7 [62-74s] VO: "Third, assets that compound. Permanent seasonal pages. Collections with real content. Internal links pointing to where revenue is." | VISUAL: Building grows a floor each year, labelled 2026, 2027, 2028
Scene 8 [74-86s] VO: "Fourth, visibility in AI search. Clear structured data and content ChatGPT and Google's AI features can understand." | VISUAL: AI answer panel citing the store
Scene 9 [86-94s] VO: "No spam. No link farms. Here's what that looks like for a client: [CLIENT RESULT: organic revenue year over year]." | VISUAL: Placeholder results card
Scene 10 [94-110s] VO: "Comment PERMANENT for the framework. Or book a free e-commerce SEO audit with Permanent SEO." | VISUAL: End card, keyword, Mehrooz + Permanent SEO
Final 3 s: dark/navy end card with Permanent SEO logo, 'SEO for E-commerce Brands' and 'Comment "PERMANENT"'. Burned-in captions. All text spelled exactly as written, sharp and legible on mobile; no extra words, no watermarks.</t>
  </si>
  <si>
    <t xml:space="preserve">PERMANENT</t>
  </si>
  <si>
    <t xml:space="preserve">Permanent SEO Framework One-Pager (4-part e-commerce SEO framework, PDF)</t>
  </si>
  <si>
    <t xml:space="preserve">Most store SEO resets every season.
Permanent SEO is built the other way:
1. Foundations first
2. Pages that match intent
3. Assets that compound
4. AI search visibility
Work you pay for once should keep working next year. #EcommerceSEO</t>
  </si>
  <si>
    <t xml:space="preserve">Ecommerce SEO Agency Approach: Build Once, Rank Every Season</t>
  </si>
  <si>
    <t xml:space="preserve">How an ecommerce SEO agency should build for the long term. Mehrooz Shafique explains the Permanent SEO framework: foundations, intent-matched pages, compounding assets and AI search visibility.</t>
  </si>
  <si>
    <t xml:space="preserve">ecommerce SEO agency, shopify SEO services, long term SEO, SEO strategy, ecommerce SEO, AI search, seasonal SEO, technical SEO, woocommerce SEO, Permanent SEO</t>
  </si>
  <si>
    <t xml:space="preserve">Black Friday day: what to watch in Search Console while it's live</t>
  </si>
  <si>
    <t xml:space="preserve">It's Black Friday. Here's what I'm watching today, hour by hour.</t>
  </si>
  <si>
    <t xml:space="preserve">black friday SEO monitoring</t>
  </si>
  <si>
    <t xml:space="preserve">search console realtime, black friday traffic monitoring, ecommerce peak day SEO, BFCM tracking</t>
  </si>
  <si>
    <t xml:space="preserve">It's Black Friday.
Your SEO work for this sale is mostly done. Today is about catching problems fast.
Here's what we watch for clients on the day:
Morning
→ Search Console Performance with the 24-hour view: is the seasonal hub getting impressions?
→ Spot-check the hub and top deal collections load on mobile
Midday
→ Out-of-stock products: still live, alternatives linked
→ Price checks: page vs Merchant Center feed
Afternoon
→ Any sale page returning errors or redirects you didn't plan
→ Which queries are bringing visitors you didn't expect. Note them for next year
Evening
→ Write down what broke, what worked, and what you'd change. Next November starts with this list.
What to avoid today: theme edits, new apps, URL changes.
Here's how last year compared for one client: [CLIENT RESULT: BFCM organic sessions/revenue YoY]
Comment "LIVEWATCH" and I'll send you the Black Friday Day Monitoring Sheet.
#BlackFriday #EcommerceSEO #GoogleSearchConsole #BFCM</t>
  </si>
  <si>
    <t xml:space="preserve">#BlackFriday #EcommerceSEO #GoogleSearchConsole #BFCM</t>
  </si>
  <si>
    <t xml:space="preserve">It's Black Friday. What I'm watching today:
Morning → seasonal hub impressions in Search Console
Midday → out-of-stock pages + price checks
Afternoon → errors on sale pages
Evening → notes for next year
No theme edits. No new apps. No URL changes today. Protect what already works.
Save this for Cyber Monday too.
Comment "LIVEWATCH" for the Black Friday Day Monitoring Sheet.
#blackfriday #blackfriday2026 #bfcm #cybermonday #ecommerceseo #shopifyseo #googlesearchconsole #seotips #onlinestore #ecommercetips #shopifystore #holidaysales</t>
  </si>
  <si>
    <t xml:space="preserve">#blackfriday #blackfriday2026 #bfcm #cybermonday #ecommerceseo #shopifyseo #googlesearchconsole #seotips #onlinestore #ecommercetips #shopifystore #holidaysales</t>
  </si>
  <si>
    <t xml:space="preserve">Single image, timeline infographic, 1080x1350. Top tag: BLACK FRIDAY · 27 NOV. Headline: WHAT TO WATCH TODAY. Sub-headline: Black Friday SEO monitoring, hour by hour.
Vertical timeline with four time blocks, each with an icon and 2 checks:
MORNING (sun icon): Seasonal hub impressions — GSC 24-hour view | Mobile spot-check of hub + top collections
MIDDAY (clock icon): Out-of-stock pages still live | Page price = Merchant Center price
AFTERNOON (warning icon): Errors or surprise redirects on sale URLs | Unexpected queries → note for next year
EVENING (notebook icon): What broke · What worked · What to change
Red "DON'T TODAY" box: Theme edits · New apps · URL changes
Proof tile: "Last year, one client: [CLIENT RESULT: BFCM organic revenue YoY]". Footer: Mehrooz Shafique · Permanent SEO | Banner: Comment "LIVEWATCH" for the monitoring sheet</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</si>
  <si>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"It's Black Friday. Here's what I'm watching today, hour by hour."
SUBHEAD: "Black Friday day: what to watch in Search Console while it's live"
MAIN VISUAL: the layout described below containing exactly: 
Single image, timeline infographic, 1080x1350. Top tag: BLACK FRIDAY · 27 NOV. Headline: WHAT TO WATCH TODAY. Sub-headline: Black Friday SEO monitoring, hour by hour.
Vertical timeline with four time blocks, each with an icon and 2 checks:
MORNING (sun icon): Seasonal hub impressions — GSC 24-hour view | Mobile spot-check of hub + top collections
MIDDAY (clock icon): Out-of-stock pages still live | Page price = Merchant Center price
AFTERNOON (warning icon): Errors or surprise redirects on sale URLs | Unexpected queries → note for next year
EVENING (notebook icon): What broke · What worked · What to change
Red "DON'T TODAY" box: Theme edits · New apps · URL changes
Proof tile: "Last year, one client: [CLIENT RESULT: BFCM organic revenue YoY]". Footer: Mehrooz Shafique · Permanent SEO | Banner: Comment "LIVEWATCH" for the monitoring sheet
CTA BANNER (bottom, navy rounded box, white text, keyword in blue): Comment "LIVEWATCH" for Black Friday Day Monitoring Sheet (hour-by-hour checklist + incident log,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</si>
  <si>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"It's Black Friday. Here's what I'm watching today, hour by hour."
BODY (numbered points / simple visual): the 3–5 key points from this brief, shortened to max 8 words each:
Single image, timeline infographic, 1080x1350. Top tag: BLACK FRIDAY · 27 NOV. Headline: WHAT TO WATCH TODAY. Sub-headline: Black Friday SEO monitoring, hour by hour.
Vertical timeline with four time blocks, each with an icon and 2 checks:
MORNING (sun icon): Seasonal hub impressions — GSC 24-hour view | Mobile spot-check of hub + top collections
MIDDAY (clock icon): Out-of-stock pages still live | Page price = Merchant Center price
AFTERNOON (warning icon): Errors or surprise redirects on sale URLs | Unexpected queries → note for next year
EVENING (notebook icon): What broke · What worked · What to change
Red "DON'T TODAY" box: Theme edits · New apps · URL changes
Proof tile: "Last year, one client: [CLIENT RESULT: BFCM organic revenue YoY]". Footer: Mehrooz Shafique · Permanent SEO | Banner: Comment "LIVEWATCH" for the monitoring sheet
BOTTOM BAR: Comment "LIVEWATCH" for Black Friday Day Monitoring Sheet (hour-by-hour checklist + incident log,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</si>
  <si>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LIVEWATCH</t>
  </si>
  <si>
    <t xml:space="preserve">Black Friday Day Monitoring Sheet (hour-by-hour checklist + incident log, Google Sheet)</t>
  </si>
  <si>
    <t xml:space="preserve">It's Black Friday. SEO today is about catching problems fast.
→ Hub impressions in Search Console (24h view)
→ Out-of-stock pages still live
→ Page price = feed price
→ Errors on sale URLs
→ Notes for next year
No theme edits today. #BlackFriday</t>
  </si>
  <si>
    <t xml:space="preserve">Cyber Monday and after: 8 SEO moves once the sale ends</t>
  </si>
  <si>
    <t xml:space="preserve">The sale ends tonight. Your Black Friday page shouldn't.</t>
  </si>
  <si>
    <t xml:space="preserve">what to do with black friday page after sale</t>
  </si>
  <si>
    <t xml:space="preserve">post black friday SEO, cyber monday SEO, after BFCM SEO, seasonal page off season</t>
  </si>
  <si>
    <t xml:space="preserve">It's Cyber Monday. By tomorrow, most stores will start deleting.
Sale banners. Deal collections. The Black Friday page.
Here's what to do instead, in order:
1. Keep /black-friday live. Switch it to "Our next sale is coming" with an email sign-up
2. Point the homepage banner to your Christmas gift hub, not a dead deal
3. Products that sold out: keep the pages, add restock alerts
4. Deal collections: merge into permanent collections or 301 them to the closest match
5. Save this week's Search Console data. Export top queries and pages
6. Note which queries surprised you. They're next year's content plan
7. Ask buyers for reviews. Fresh reviews help product pages for Christmas and beyond
8. Put a date in the diary for October 2027 to refresh the page
Peak season ends. The pages that earned it don't have to.
Swipe through for the full sequence.
Comment "AFTERPEAK" and I'll send you the Post-BFCM SEO Wrap-Up Checklist.
#CyberMonday #BlackFriday #EcommerceSEO #ShopifySEO</t>
  </si>
  <si>
    <t xml:space="preserve">#CyberMonday #BlackFriday #EcommerceSEO #ShopifySEO</t>
  </si>
  <si>
    <t xml:space="preserve">The sale ends tonight. The page shouldn't.
1. Keep /black-friday live
2. Switch to "next sale coming" + email sign-up
3. Homepage banner → Christmas gifts
4. Sold-out products stay live
5. Merge or 301 deal collections
6. Export Search Console data
7. Ask buyers for reviews
8. Diary note: refresh in October
Save this for tomorrow.
Comment "AFTERPEAK" for the Post-BFCM SEO Wrap-Up Checklist.
#cybermonday #blackfriday #bfcm #ecommerceseo #shopifyseo #seotips #onlinestore #ecommercetips #shopifystore #woocommerce #christmasshopping #smallbusiness</t>
  </si>
  <si>
    <t xml:space="preserve">#cybermonday #blackfriday #bfcm #ecommerceseo #shopifyseo #seotips #onlinestore #ecommercetips #shopifystore #woocommerce #christmasshopping #smallbusiness</t>
  </si>
  <si>
    <t xml:space="preserve">Slide 1: The sale ends tonight. Your Black Friday page shouldn't. | 8 SEO moves for Cyber Monday and after.
Slide 2: Move 1: Keep the URL live | /black-friday stays. Switch the copy to "Our next sale is coming" + email sign-up.
Slide 3: Move 2: Update the homepage | Banner points to your Christmas gift hub, not an expired deal.
Slide 4: Move 3: Sold-out products | Keep the pages. Add restock alerts and alternatives.
Slide 5: Move 4: Deal collections | Merge into permanent collections or 301 to the closest match. No 404s.
Slide 6: Move 5: Export your data | Search Console → Performance → last 7 days vs last year. Save top queries and pages.
Slide 7: Move 6: Surprising queries | Queries you didn't plan for are next year's content plan.
Slide 8: Move 7: Reviews | Ask BFCM buyers for reviews. Fresh reviews help product pages through Christmas.
Slide 9: Move 8: Diary note | October 2027: refresh the page. Same URL. More authority.
Slide 10: Comment "AFTERPEAK" | Get the Post-BFCM SEO Wrap-Up Checklist. Follow Mehrooz. Next month: technical SEO for stores.</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</si>
  <si>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The sale ends tonight. Your Black Friday page shouldn't. | 8 SEO moves for Cyber Monday and after.
Slide 2: Move 1: Keep the URL live | /black-friday stays. Switch the copy to "Our next sale is coming" + email sign-up.
Slide 3: Move 2: Update the homepage | Banner points to your Christmas gift hub, not an expired deal.
Slide 4: Move 3: Sold-out products | Keep the pages. Add restock alerts and alternatives.
Slide 5: Move 4: Deal collections | Merge into permanent collections or 301 to the closest match. No 404s.
Slide 6: Move 5: Export your data | Search Console → Performance → last 7 days vs last year. Save top queries and pages.
Slide 7: Move 6: Surprising queries | Queries you didn't plan for are next year's content plan.
Slide 8: Move 7: Reviews | Ask BFCM buyers for reviews. Fresh reviews help product pages through Christmas.
Slide 9: Move 8: Diary note | October 2027: refresh the page. Same URL. More authority.
Slide 10: Comment "AFTERPEAK" | Get the Post-BFCM SEO Wrap-Up Checklist. Follow Mehrooz. Next month: technical SEO for stores.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</si>
  <si>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The sale ends tonight. Your Black Friday page shouldn't. | 8 SEO moves for Cyber Monday and after.
Slide 2: Move 1: Keep the URL live | /black-friday stays. Switch the copy to "Our next sale is coming" + email sign-up.
Slide 3: Move 2: Update the homepage | Banner points to your Christmas gift hub, not an expired deal.
Slide 4: Move 3: Sold-out products | Keep the pages. Add restock alerts and alternatives.
Slide 5: Move 4: Deal collections | Merge into permanent collections or 301 to the closest match. No 404s.
Slide 6: Move 5: Export your data | Search Console → Performance → last 7 days vs last year. Save top queries and pages.
Slide 7: Move 6: Surprising queries | Queries you didn't plan for are next year's content plan.
Slide 8: Move 7: Reviews | Ask BFCM buyers for reviews. Fresh reviews help product pages through Christmas.
Slide 9: Move 8: Diary note | October 2027: refresh the page. Same URL. More authority.
Slide 10: Comment "AFTERPEAK" | Get the Post-BFCM SEO Wrap-Up Checklist. Follow Mehrooz. Next month: technical SEO for stores.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</si>
  <si>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AFTERPEAK</t>
  </si>
  <si>
    <t xml:space="preserve">Post-BFCM SEO Wrap-Up Checklist (8-step PDF + Search Console export guide)</t>
  </si>
  <si>
    <t xml:space="preserve">It's Cyber Monday. Tomorrow most stores start deleting sale pages.
Don't. 8 SEO moves for after the sale
---
1. Keep /black-friday live. Switch it to "next sale coming" with an email sign-up.
2. Point the homepage banner to your Christmas gift hub.
---
3. Sold-out products: keep the pages, add restock alerts.
4. Deal collections: merge into permanent ones or 301 to the closest match. No 404s.
---
5. Export this week's Search Console queries and pages.
6. Queries you didn't plan for are next year's content plan.
---
7. Ask BFCM buyers for reviews.
8. Diary note for October 2027: refresh the same page.
---
Peak season ends. The pages that earned it don't have to. #CyberMonday #EcommerceSEO</t>
  </si>
  <si>
    <t xml:space="preserve">What to do with your Black Friday pages after Cyber Monday (instead of deleting them)</t>
  </si>
  <si>
    <t xml:space="preserve">Every December a lot of stores delete their Black Friday pages and deal collections, then rebuild them from scratch next November. Here's what I'd do instead.
1. Keep the main Black Friday URL live. Change the copy to something like "our next sale is coming" with an email sign-up. Use a URL with no year in it.
2. Move your homepage banner to the Christmas or gift collection so it isn't pointing at an expired offer.
3. Keep sold-out product pages live with a restock option and links to similar products.
4. For temporary deal collections, either merge them into permanent collections or 301 redirect to the closest match, rather than leaving 404s.
5. Export your Search Console queries and pages for the sale period. It's useful next year.
6. Look for queries you didn't expect. They often point to pages you're missing.
7. Ask sale customers for reviews while the purchase is fresh.
8. Set a reminder for October to refresh the page.
Do you keep your seasonal pages live year round, or do you take them down? Curious what's worked for people.</t>
  </si>
  <si>
    <t xml:space="preserve">Dec 2026</t>
  </si>
  <si>
    <t xml:space="preserve">Technical SEO for Online Stores (Shopify &amp; WooCommerce)</t>
  </si>
  <si>
    <t xml:space="preserve">Shopify's duplicate product URLs: /collections/x/products/y explained</t>
  </si>
  <si>
    <t xml:space="preserve">Your Shopify product lives at 3+ URLs. Google picks one.</t>
  </si>
  <si>
    <t xml:space="preserve">shopify duplicate product urls</t>
  </si>
  <si>
    <t xml:space="preserve">shopify collections products url, shopify canonical tag, within: collection liquid, shopify internal linking, duplicate content shopify</t>
  </si>
  <si>
    <t xml:space="preserve">Your Shopify product lives at 3+ URLs. Google picks one.
Every product on Shopify can be reached through:
→ /products/blue-hoodie
→ /collections/hoodies/products/blue-hoodie
→ /collections/sale/products/blue-hoodie
Shopify adds a canonical tag pointing to /products/. Good.
The problem is your theme. Many themes link to the collection path from every collection grid. So your internal links point to the duplicate, and the canonical says "not me".
That is a mixed signal. Google usually follows the canonical, but you are still asking it to crawl thousands of extra URLs on a big catalog.
The fix is small:
→ Find the product card snippet in your theme
→ Remove the "| within: collection" filter from the product link
→ Check internal links now point to /products/ only
→ Re-crawl with Screaming Frog or Sitebulb to confirm
Ten minutes of theme work. Cleaner crawl paths for every product you sell.
I put the exact steps, the Liquid snippet and a before/after crawl check into one SOP.
Comment "DUPEPATH" and I'll send you the Shopify Collection Path Fix SOP (Google Doc + theme snippet).
#ShopifySEO #TechnicalSEO #EcommerceSEO #Shopify</t>
  </si>
  <si>
    <t xml:space="preserve">#ShopifySEO #TechnicalSEO #EcommerceSEO #Shopify</t>
  </si>
  <si>
    <t xml:space="preserve">Your Shopify product has 3+ URLs.
→ /products/blue-hoodie
→ /collections/hoodies/products/blue-hoodie
→ /collections/sale/products/blue-hoodie
Shopify's canonical points to /products/.
But your theme often links to the collection path.
Mixed signals. Wasted crawling.
Fix: remove "within: collection" from the product card link.
Save this for your next store audit. Share it with your developer.
Comment "DUPEPATH" for the Shopify Collection Path Fix SOP (Google Doc + theme snippet).
#shopifyseo #technicalseo #ecommerceseo #shopify #shopifystore #seotips #onlinestore #ecommercetips #shopifyexperts #searchengineoptimization #googleseo #storeowner</t>
  </si>
  <si>
    <t xml:space="preserve">#shopifyseo #technicalseo #ecommerceseo #shopify #shopifystore #seotips #onlinestore #ecommercetips #shopifyexperts #searchengineoptimization #googleseo #storeowner</t>
  </si>
  <si>
    <t xml:space="preserve">Single image, 1080x1350 (IG) and 1200x1500 (LinkedIn). Dark navy background, white + lime accent.
HEADLINE (top, bold condensed): ONE PRODUCT. THREE URLS.
SUB-HEADLINE: Why Shopify themes create duplicate product paths
CENTRE DIAGRAM: one product card ("Blue Hoodie") in the middle with three arrows pointing out to three URL boxes:
  Box 1 (green border, tick): /products/blue-hoodie — label "Canonical (the one Google should index)"
  Box 2 (red border, cross): /collections/hoodies/products/blue-hoodie — label "Duplicate path"
  Box 3 (red border, cross): /collections/sale/products/blue-hoodie — label "Duplicate path"
CURVED ARROW from Box 2 and Box 3 back to Box 1 labelled "rel=canonical".
LOWER PANEL titled "THE FIX (4 STEPS)":
  1. Open snippets/product-card (or card-product.liquid)
  2. Remove "| within: collection" from the product URL
  3. Save and clear theme cache
  4. Re-crawl: internal links should hit /products/ only
SMALL CODE STRIP: {{ product.url | within: collection }} → {{ product.url }}
FOOTER BANNER: Comment "DUPEPATH" for the SOP |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</si>
  <si>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"Your Shopify product lives at 3+ URLs. Google picks one."
SUBHEAD: "Shopify's duplicate product URLs: /collections/x/products/y explained"
MAIN VISUAL: the layout described below containing exactly: 
Single image, 1080x1350 (IG) and 1200x1500 (LinkedIn). Dark navy background, white + lime accent.
HEADLINE (top, bold condensed): ONE PRODUCT. THREE URLS.
SUB-HEADLINE: Why Shopify themes create duplicate product paths
CENTRE DIAGRAM: one product card ("Blue Hoodie") in the middle with three arrows pointing out to three URL boxes:
  Box 1 (green border, tick): /products/blue-hoodie — label "Canonical (the one Google should index)"
  Box 2 (red border, cross): /collections/hoodies/products/blue-hoodie — label "Duplicate path"
  Box 3 (red border, cross): /collections/sale/products/blue-hoodie — label "Duplicate path"
CURVED ARROW from Box 2 and Box 3 back to Box 1 labelled "rel=canonical".
LOWER PANEL titled "THE FIX (4 STEPS)":
  1. Open snippets/product-card (or card-product.liquid)
  2. Remove "| within: collection" from the product URL
  3. Save and clear theme cache
  4. Re-crawl: internal links should hit /products/ only
SMALL CODE STRIP: {{ product.url | within: collection }} → {{ product.url }}
FOOTER BANNER: Comment "DUPEPATH" for the SOP | Muhammad Mehrooz Shafique · Permanent SEO
CTA BANNER (bottom, navy rounded box, white text, keyword in blue): Comment "DUPEPATH" for Shopify Collection Path Fix SOP (Google Doc + theme snippet)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</si>
  <si>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"Your Shopify product lives at 3+ URLs. Google picks one."
BODY (numbered points / simple visual): the 3–5 key points from this brief, shortened to max 8 words each:
Single image, 1080x1350 (IG) and 1200x1500 (LinkedIn). Dark navy background, white + lime accent.
HEADLINE (top, bold condensed): ONE PRODUCT. THREE URLS.
SUB-HEADLINE: Why Shopify themes create duplicate product paths
CENTRE DIAGRAM: one product card ("Blue Hoodie") in the middle with three arrows pointing out to three URL boxes:
  Box 1 (green border, tick): /products/blue-hoodie — label "Canonical (the one Google should index)"
  Box 2 (red border, cross): /collections/hoodies/products/blue-hoodie — label "Duplicate path"
  Box 3 (red border, cross): /collections/sale/products/blue-hoodie — label "Duplicate path"
CURVED ARROW from Box 2 and Box 3 back to Box 1 labelled "rel=canonical".
LOWER PANEL titled "THE FIX (4 STEPS)":
  1. Open snippets/product-card (or card-product.liquid)
  2. Remove "| within: collection" from the product URL
  3. Save and clear theme cache
  4. Re-crawl: internal links should hit /products/ only
SMALL CODE STRIP: {{ product.url | within: collection }} → {{ product.url }}
FOOTER BANNER: Comment "DUPEPATH" for the SOP | Muhammad Mehrooz Shafique · Permanent SEO
BOTTOM BAR: Comment "DUPEPATH" for Shopify Collection Path Fix SOP (Google Doc + theme snippet)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</si>
  <si>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DUPEPATH</t>
  </si>
  <si>
    <t xml:space="preserve">Shopify Collection Path Fix SOP (Google Doc + theme snippet)</t>
  </si>
  <si>
    <t xml:space="preserve">Shopify gives every product 3+ URLs: /products/x and /collections/any/products/x.
The canonical points to /products/. Your theme often links to the other ones.
Fix: remove "| within: collection" from the product card link. #ShopifySEO #TechnicalSEO</t>
  </si>
  <si>
    <t xml:space="preserve">Crawl budget on large catalogs: stop adding pages, fix crawl paths</t>
  </si>
  <si>
    <t xml:space="preserve">We don't add more pages. We fix where Google spends time.</t>
  </si>
  <si>
    <t xml:space="preserve">crawl budget ecommerce</t>
  </si>
  <si>
    <t xml:space="preserve">crawl budget shopify, large catalog seo, googlebot crawl stats, filter urls crawl, crawl waste</t>
  </si>
  <si>
    <t xml:space="preserve">We don't add more pages. We fix where Google spends its time.
Crawl budget is not a problem for a 200-product store.
It becomes one when you have tens of thousands of URLs: products, variants, filters, tags, sort orders, paginated collections.
Google's own documentation says crawl budget mainly matters for large sites or sites with lots of auto-generated URLs. Most big online stores are both.
Three checks I run first:
→ Are filter and sort URLs getting crawled? (GSC Crawl Stats, or server logs)
→ Are discontinued products still eating requests?
→ How long until a new product page is crawled and indexed?
If the answers are bad, publishing more pages just adds noise.
Fix the crawl paths first. Then grow the catalog.
I built a sheet that walks through every check, with where to find the data in GSC and what "good" looks like.
Comment "CRAWLBUDGET" and I'll send you the Large Catalog Crawl Budget Audit Sheet (Google Sheet).
#TechnicalSEO #CrawlBudget #EcommerceSEO #ShopifySEO</t>
  </si>
  <si>
    <t xml:space="preserve">#TechnicalSEO #CrawlBudget #EcommerceSEO #ShopifySEO</t>
  </si>
  <si>
    <t xml:space="preserve">We don't add more pages. We fix where Google spends time.
Big catalog? Check 3 things first:
→ Filter and sort URLs being crawled
→ Dead products still eating requests
→ New pages taking weeks to get indexed
More pages without clean crawl paths = more noise.
Save this for your next store audit. Share it with your developer.
Comment "CRAWLBUDGET" for the Large Catalog Crawl Budget Audit Sheet (Google Sheet).
#technicalseo #crawlbudget #ecommerceseo #shopifyseo #woocommerce #seotips #onlinestore #googlesearchconsole #seoexpert #ecommercebusiness #searchengineoptimization #storeowner</t>
  </si>
  <si>
    <t xml:space="preserve">#technicalseo #crawlbudget #ecommerceseo #shopifyseo #woocommerce #seotips #onlinestore #googlesearchconsole #seoexpert #ecommercebusiness #searchengineoptimization #storeowner</t>
  </si>
  <si>
    <t xml:space="preserve">[0-2s] VO: We don't add more pages. | ON-SCREEN: WE DON'T ADD MORE PAGES. | VISUAL: Black screen, white kinetic type slams in
[2-4s] VO: We fix where Google spends its time. | ON-SCREEN: WE FIX WHERE GOOGLE SPENDS ITS TIME. | VISUAL: Type shifts to lime, clock icon ticks
[4-7s] VO: Most store owners do this. | ON-SCREEN: MOST STORE OWNERS DO THIS: | VISUAL: Grid of product thumbnails multiplying
[7-8s] VO: More products. | ON-SCREEN: MORE PRODUCTS. | VISUAL: Word pops
[8-9s] VO: More filters. | ON-SCREEN: MORE FILTERS. | VISUAL: Word pops
[9-10s] VO: More tags. | ON-SCREEN: MORE TAGS. | VISUAL: Word pops
[10-13s] VO: But on a big catalog, three things matter first. | ON-SCREEN: BUT FIRST, 3 THINGS. | VISUAL: Three empty boxes appear
[13-16s] VO: Are filter URLs being crawled? | ON-SCREEN: 1. FILTER URLS CRAWLED? | VISUAL: Box 1 fills: URL with ?color=red&amp;size=m
[16-19s] VO: Are old products still eating requests? | ON-SCREEN: 2. DEAD PRODUCTS CRAWLED? | VISUAL: Box 2 fills: 404 tag
[19-23s] VO: Is Google reaching your new pages fast? | ON-SCREEN: 3. NEW PAGES FOUND FAST? | VISUAL: Box 3 fills: calendar with delay
[23-26s] VO: Without that, more pages don't add rankings. | ON-SCREEN: MORE PAGES ≠ MORE RANKINGS. | VISUAL: Crossed-out graph
[26-28s] VO: They add noise. | ON-SCREEN: THEY ADD NOISE. | VISUAL: Static noise texture
[28-32s] VO: A clean crawl path is how big stores grow. | ON-SCREEN: CLEAN CRAWL PATHS GROW STORES. | VISUAL: Logo + Comment CRAWLBUDGET</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</si>
  <si>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add more pages. | ON-SCREEN: WE DON'T ADD MORE PAGES. | VISUAL: Black screen, white kinetic type slams in
[2-4s] VO: We fix where Google spends its time. | ON-SCREEN: WE FIX WHERE GOOGLE SPENDS ITS TIME. | VISUAL: Type shifts to lime, clock icon ticks
[4-7s] VO: Most store owners do this. | ON-SCREEN: MOST STORE OWNERS DO THIS: | VISUAL: Grid of product thumbnails multiplying
[7-8s] VO: More products. | ON-SCREEN: MORE PRODUCTS. | VISUAL: Word pops
[8-9s] VO: More filters. | ON-SCREEN: MORE FILTERS. | VISUAL: Word pops
[9-10s] VO: More tags. | ON-SCREEN: MORE TAGS. | VISUAL: Word pops
[10-13s] VO: But on a big catalog, three things matter first. | ON-SCREEN: BUT FIRST, 3 THINGS. | VISUAL: Three empty boxes appear
[13-16s] VO: Are filter URLs being crawled? | ON-SCREEN: 1. FILTER URLS CRAWLED? | VISUAL: Box 1 fills: URL with ?color=red&amp;size=m
[16-19s] VO: Are old products still eating requests? | ON-SCREEN: 2. DEAD PRODUCTS CRAWLED? | VISUAL: Box 2 fills: 404 tag
[19-23s] VO: Is Google reaching your new pages fast? | ON-SCREEN: 3. NEW PAGES FOUND FAST? | VISUAL: Box 3 fills: calendar with delay
[23-26s] VO: Without that, more pages don't add rankings. | ON-SCREEN: MORE PAGES ≠ MORE RANKINGS. | VISUAL: Crossed-out graph
[26-28s] VO: They add noise. | ON-SCREEN: THEY ADD NOISE. | VISUAL: Static noise texture
[28-32s] VO: A clean crawl path is how big stores grow. | ON-SCREEN: CLEAN CRAWL PATHS GROW STORES. | VISUAL: Logo + Comment CRAWLBUDGET
Final 3 s: dark/navy end card with Permanent SEO logo, 'SEO for E-commerce Brands' and 'Comment "CRAWLBUDGET"'. Burned-in captions. All text spelled exactly as written, sharp and legible on mobile; no extra words, no watermarks.</t>
  </si>
  <si>
    <t xml:space="preserve">CRAWLBUDGET</t>
  </si>
  <si>
    <t xml:space="preserve">Large Catalog Crawl Budget Audit Sheet (Google Sheet)</t>
  </si>
  <si>
    <t xml:space="preserve">We don't add more pages. We fix where Google spends its time.
Big catalog? Check:
→ filter URLs crawled
→ dead products crawled
→ new pages slow to index
More pages without clean crawl paths = noise. #TechnicalSEO #EcommerceSEO</t>
  </si>
  <si>
    <t xml:space="preserve">Crawl Budget for Ecommerce: Fix This Before Adding Pages</t>
  </si>
  <si>
    <t xml:space="preserve">Crawl budget for ecommerce stores with large catalogs: three checks to run before you add more products, filters or tags. Muhammad Mehrooz Shafique from Permanent SEO explains in 30 seconds. #Shorts</t>
  </si>
  <si>
    <t xml:space="preserve">crawl budget, ecommerce seo, shopify seo, technical seo, woocommerce seo, googlebot, crawl stats, large catalog seo, search console, permanent seo</t>
  </si>
  <si>
    <t xml:space="preserve">Faceted navigation and filter URLs: which to index, which to hide</t>
  </si>
  <si>
    <t xml:space="preserve">Your filters made 40,000 URLs. Google is crawling all of them.</t>
  </si>
  <si>
    <t xml:space="preserve">faceted navigation seo</t>
  </si>
  <si>
    <t xml:space="preserve">filter urls seo, ecommerce filters indexing, shopify filter urls, woocommerce layered navigation seo, parameter urls</t>
  </si>
  <si>
    <t xml:space="preserve">Your filters made 40,000 URLs. Google is trying to crawl all of them.
Faceted navigation is great for shoppers.
Colour. Size. Material. Price. Sort order.
But every combination can become a new URL. On a store with 2,000 products and 8 filters, that number gets very large very fast.
The result:
→ Googlebot spends time on near-duplicate filter pages
→ Thin filter pages get indexed instead of your real collections
→ "Crawled - currently not indexed" keeps growing in GSC
The fix is a decision per filter, not a blanket rule:
→ Real search demand ("black linen dresses")? Make it a proper static collection page.
→ No demand (size + sort + price range)? Canonical, noindex, or keep it out of crawlable links.
→ Then check Crawl Stats and Page indexing to confirm Google followed.
In this video I walk through the exact 4-step process we use at Permanent SEO.
Comment "FACETS" and I'll send you the Faceted Navigation Decision Map (index / noindex / block per filter).
#TechnicalSEO #FacetedNavigation #EcommerceSEO #WooCommerce</t>
  </si>
  <si>
    <t xml:space="preserve">#TechnicalSEO #FacetedNavigation #EcommerceSEO #WooCommerce</t>
  </si>
  <si>
    <t xml:space="preserve">Your filters made 40,000 URLs.
Every filter combo = a new URL.
Google tries to crawl them.
Your real collections wait in line.
Fix:
→ Filters with search demand become real pages
→ The rest: canonical, noindex or out of crawl paths
Save this for your next store audit. Share it with your developer.
Comment "FACETS" for the Faceted Navigation Decision Map (index / noindex / block per filter).
#technicalseo #facetednavigation #ecommerceseo #shopifyseo #woocommerceseo #seotips #onlinestore #filterurls #seoexpert #ecommercetips #searchengineoptimization #permanentseo</t>
  </si>
  <si>
    <t xml:space="preserve">#technicalseo #facetednavigation #ecommerceseo #shopifyseo #woocommerceseo #seotips #onlinestore #filterurls #seoexpert #ecommercetips #searchengineoptimization #permanentseo</t>
  </si>
  <si>
    <t xml:space="preserve">Scene 1 [0-10s] VO: Okay. Red. Medium. Cotton. Under fifty. Sort by price... wait, why does Google have forty thousand of these indexed? | VISUAL: Store owner at laptop clicking filters; URL bar grows longer with each click
Scene 2 [10-22s] VO: Let's be honest. Your filters are great for shoppers. But every combination creates a new URL. And Google tries to crawl them all. | VISUAL: Filter combinations branching into a tree of URLs
Scene 3 [22-34s] VO: So your real collection pages wait in line. Thin, near-duplicate filter pages get indexed. And the pages that should rank get weaker signals. | VISUAL: GSC graph: 'Crawled - currently not indexed' rising
Scene 4 [34-40s] VO: It's time to control it. | VISUAL: Title card: CONTROL YOUR FACETS
Scene 5 [40-55s] VO: At Permanent SEO, we treat every filter as a decision, not a default. Some filters have real search demand. Most don't. | VISUAL: Two columns: 'Search demand' vs 'No demand'
Scene 6 [55-70s] VO: Step one. We map every filter and check real search demand. Black dresses? Yes. Size medium, sorted by newest? No. | VISUAL: Spreadsheet with filters and demand ticks
Scene 7 [70-85s] VO: Step two. Filters with demand become clean, static collection pages with their own title, copy and internal links. | VISUAL: Filter URL morphs into /collections/black-dresses
Scene 8 [85-100s] VO: Step three. Everything else gets a self-referencing canonical to the main collection, noindex, or is kept out of crawl paths, depending on scale. | VISUAL: Icons: canonical, noindex, robots
Scene 9 [100-110s] VO: Step four. We check crawl stats and indexing reports to confirm Google listened. [CLIENT RESULT: indexed filter URLs down from X to Y]. | VISUAL: GSC chart placeholder
Scene 10 [110-120s] VO: Comment FACETS for the decision map. Or book a free e-commerce SEO audit with Permanent SEO. | VISUAL: End card with keyword and logo
VERTICAL CUT (40s, IG Reels): Scenes 1, 2, 4, 6, 7, 8, 10.</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</si>
  <si>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[0-10s] VO: Okay. Red. Medium. Cotton. Under fifty. Sort by price... wait, why does Google have forty thousand of these indexed? | VISUAL: Store owner at laptop clicking filters; URL bar grows longer with each click
Scene 2 [10-22s] VO: Let's be honest. Your filters are great for shoppers. But every combination creates a new URL. And Google tries to crawl them all. | VISUAL: Filter combinations branching into a tree of URLs
Scene 3 [22-34s] VO: So your real collection pages wait in line. Thin, near-duplicate filter pages get indexed. And the pages that should rank get weaker signals. | VISUAL: GSC graph: 'Crawled - currently not indexed' rising
Scene 4 [34-40s] VO: It's time to control it. | VISUAL: Title card: CONTROL YOUR FACETS
Scene 5 [40-55s] VO: At Permanent SEO, we treat every filter as a decision, not a default. Some filters have real search demand. Most don't. | VISUAL: Two columns: 'Search demand' vs 'No demand'
Scene 6 [55-70s] VO: Step one. We map every filter and check real search demand. Black dresses? Yes. Size medium, sorted by newest? No. | VISUAL: Spreadsheet with filters and demand ticks
Scene 7 [70-85s] VO: Step two. Filters with demand become clean, static collection pages with their own title, copy and internal links. | VISUAL: Filter URL morphs into /collections/black-dresses
Scene 8 [85-100s] VO: Step three. Everything else gets a self-referencing canonical to the main collection, noindex, or is kept out of crawl paths, depending on scale. | VISUAL: Icons: canonical, noindex, robots
Scene 9 [100-110s] VO: Step four. We check crawl stats and indexing reports to confirm Google listened. [CLIENT RESULT: indexed filter URLs down from X to Y]. | VISUAL: GSC chart placeholder
Scene 10 [110-120s] VO: Comment FACETS for the decision map. Or book a free e-commerce SEO audit with Permanent SEO. | VISUAL: End card with keyword and logo
VERTICAL CUT (40s, IG Reels): Scenes 1, 2, 4, 6, 7, 8, 10.
End card: Permanent SEO logo + 'Comment "FACETS"'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</si>
  <si>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[0-10s] VO: Okay. Red. Medium. Cotton. Under fifty. Sort by price... wait, why does Google have forty thousand of these indexed? | VISUAL: Store owner at laptop clicking filters; URL bar grows longer with each click
Scene 2 [10-22s] VO: Let's be honest. Your filters are great for shoppers. But every combination creates a new URL. And Google tries to crawl them all. | VISUAL: Filter combinations branching into a tree of URLs
Scene 3 [22-34s] VO: So your real collection pages wait in line. Thin, near-duplicate filter pages get indexed. And the pages that should rank get weaker signals. | VISUAL: GSC graph: 'Crawled - currently not indexed' rising
Scene 4 [34-40s] VO: It's time to control it. | VISUAL: Title card: CONTROL YOUR FACETS
Scene 5 [40-55s] VO: At Permanent SEO, we treat every filter as a decision, not a default. Some filters have real search demand. Most don't. | VISUAL: Two columns: 'Search demand' vs 'No demand'
Scene 6 [55-70s] VO: Step one. We map every filter and check real search demand. Black dresses? Yes. Size medium, sorted by newest? No. | VISUAL: Spreadsheet with filters and demand ticks
Scene 7 [70-85s] VO: Step two. Filters with demand become clean, static collection pages with their own title, copy and internal links. | VISUAL: Filter URL morphs into /collections/black-dresses
Scene 8 [85-100s] VO: Step three. Everything else gets a self-referencing canonical to the main collection, noindex, or is kept out of crawl paths, depending on scale. | VISUAL: Icons: canonical, noindex, robots
Scene 9 [100-110s] VO: Step four. We check crawl stats and indexing reports to confirm Google listened. [CLIENT RESULT: indexed filter URLs down from X to Y]. | VISUAL: GSC chart placeholder
Scene 10 [110-120s] VO: Comment FACETS for the decision map. Or book a free e-commerce SEO audit with Permanent SEO. | VISUAL: End card with keyword and logo
VERTICAL CUT (40s, IG Reels): Scenes 1, 2, 4, 6, 7, 8, 10.
Final 3 s: dark/navy end card with Permanent SEO logo, 'SEO for E-commerce Brands' and 'Comment "FACETS"'. Burned-in captions. All text spelled exactly as written, sharp and legible on mobile; no extra words, no watermarks.</t>
  </si>
  <si>
    <t xml:space="preserve">FACETS</t>
  </si>
  <si>
    <t xml:space="preserve">Faceted Navigation Decision Map (index / noindex / block per filter)</t>
  </si>
  <si>
    <t xml:space="preserve">Filters are great for shoppers. Bad for crawl budget when every combo is a URL.
Rule: filters with search demand become real collection pages. The rest get canonical, noindex or no crawlable links. #TechnicalSEO #EcommerceSEO</t>
  </si>
  <si>
    <t xml:space="preserve">Faceted Navigation SEO: Which Filter URLs to Index (Ecommerce)</t>
  </si>
  <si>
    <t xml:space="preserve">Faceted navigation SEO for Shopify and WooCommerce stores: how filter URLs waste crawl budget and the 4-step process to decide which filters to index, canonicalise or hide. Explained by Muhammad Mehrooz Shafique, Co-Founder of Permanent SEO.</t>
  </si>
  <si>
    <t xml:space="preserve">faceted navigation seo, filter urls, ecommerce seo, shopify seo, woocommerce seo, technical seo, crawl budget, canonical tags, noindex, permanent seo</t>
  </si>
  <si>
    <t xml:space="preserve">Case study: fixing variant canonicals on a fashion store</t>
  </si>
  <si>
    <t xml:space="preserve">One canonical mistake hid [X] colour variants from Google.</t>
  </si>
  <si>
    <t xml:space="preserve">canonical tags product variants</t>
  </si>
  <si>
    <t xml:space="preserve">variant urls seo, shopify variant canonical, woocommerce variations seo, product variants indexing, colour variant pages</t>
  </si>
  <si>
    <t xml:space="preserve">One canonical mistake hid [X] colour variants from Google.
[Client: UK fashion store, WooCommerce, ~[X] products]
The problem:
Each colour had its own URL and real search demand. "Green wool coat" was a term people searched.
But a plugin set every colour URL's canonical to the parent product. Google treated them as duplicates and dropped them.
What we did:
→ Split variants into two groups: colours with search demand, sizes without
→ Colour URLs got self-referencing canonicals, unique titles and images
→ Size variants stayed as options on one URL
→ Updated internal links and the XML sitemap to match
→ Requested indexing for the priority colours in GSC
The result:
[CLIENT RESULT: +X% clicks to colour pages in Y weeks]
[CLIENT RESULT: X new colour URLs indexed]
The rule: canonical to the parent only when the variant has no search intent of its own.
I turned the rules we use into a one-page cheat sheet.
Comment "VARIANTS" and I'll send you the Variant Canonical Rules Cheat Sheet (PDF).
#EcommerceSEO #TechnicalSEO #CanonicalTags #CaseStudy</t>
  </si>
  <si>
    <t xml:space="preserve">#EcommerceSEO #TechnicalSEO #CanonicalTags #CaseStudy</t>
  </si>
  <si>
    <t xml:space="preserve">One canonical tag hid [X] colour variants from Google.
Colours had search demand. Plugin canonicalised them all to the parent.
Fix:
→ Colours with demand: own URL, self-canonical
→ Sizes: options on one URL
→ Sitemap + internal links updated
Result: [CLIENT RESULT: +X% clicks]
Save this for your next store audit. Share it with your developer.
Comment "VARIANTS" for the Variant Canonical Rules Cheat Sheet (PDF).
#ecommerceseo #technicalseo #canonicaltag #shopifyseo #woocommerce #seocasestudy #productpages #seotips #onlinestore #seoexpert #searchengineoptimization #permanentseo</t>
  </si>
  <si>
    <t xml:space="preserve">#ecommerceseo #technicalseo #canonicaltag #shopifyseo #woocommerce #seocasestudy #productpages #seotips #onlinestore #seoexpert #searchengineoptimization #permanentseo</t>
  </si>
  <si>
    <t xml:space="preserve">Single image, 1080x1350. Case study card. White background, navy text, lime highlights.
TOP TAG: CASE STUDY · [Client: UK fashion store]
HEADLINE: THE CANONICAL THAT HID [X] PRODUCTS
LEFT COLUMN 'BEFORE' (red header): mock URL list — /green-wool-coat → canonical: /wool-coat ❌ ; /navy-wool-coat → canonical: /wool-coat ❌ ; /camel-wool-coat → canonical: /wool-coat ❌
RIGHT COLUMN 'AFTER' (green header): /green-wool-coat → canonical: self ✅ ; /navy-wool-coat → canonical: self ✅ ; size options → one URL ✅
MIDDLE STRIP: 3 result tiles with placeholders: '[+X%] clicks to colour pages' · '[X] new URLs indexed' · '[Y] weeks'
BOTTOM RULE BOX: 'Canonical to parent ONLY when the variant has no search intent of its own.'
FOOTER BANNER: Comment "VARIANTS" for the cheat sheet |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</si>
  <si>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"One canonical mistake hid [X] colour variants from Google."
SUBHEAD: "Case study: fixing variant canonicals on a fashion store"
MAIN VISUAL: the layout described below containing exactly: 
Single image, 1080x1350. Case study card. White background, navy text, lime highlights.
TOP TAG: CASE STUDY · [Client: UK fashion store]
HEADLINE: THE CANONICAL THAT HID [X] PRODUCTS
LEFT COLUMN 'BEFORE' (red header): mock URL list — /green-wool-coat → canonical: /wool-coat ❌ ; /navy-wool-coat → canonical: /wool-coat ❌ ; /camel-wool-coat → canonical: /wool-coat ❌
RIGHT COLUMN 'AFTER' (green header): /green-wool-coat → canonical: self ✅ ; /navy-wool-coat → canonical: self ✅ ; size options → one URL ✅
MIDDLE STRIP: 3 result tiles with placeholders: '[+X%] clicks to colour pages' · '[X] new URLs indexed' · '[Y] weeks'
BOTTOM RULE BOX: 'Canonical to parent ONLY when the variant has no search intent of its own.'
FOOTER BANNER: Comment "VARIANTS" for the cheat sheet | Muhammad Mehrooz Shafique · Permanent SEO
CTA BANNER (bottom, navy rounded box, white text, keyword in blue): Comment "VARIANTS" for Variant Canonical Rules Cheat Sheet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</si>
  <si>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"One canonical mistake hid [X] colour variants from Google."
BODY (numbered points / simple visual): the 3–5 key points from this brief, shortened to max 8 words each:
Single image, 1080x1350. Case study card. White background, navy text, lime highlights.
TOP TAG: CASE STUDY · [Client: UK fashion store]
HEADLINE: THE CANONICAL THAT HID [X] PRODUCTS
LEFT COLUMN 'BEFORE' (red header): mock URL list — /green-wool-coat → canonical: /wool-coat ❌ ; /navy-wool-coat → canonical: /wool-coat ❌ ; /camel-wool-coat → canonical: /wool-coat ❌
RIGHT COLUMN 'AFTER' (green header): /green-wool-coat → canonical: self ✅ ; /navy-wool-coat → canonical: self ✅ ; size options → one URL ✅
MIDDLE STRIP: 3 result tiles with placeholders: '[+X%] clicks to colour pages' · '[X] new URLs indexed' · '[Y] weeks'
BOTTOM RULE BOX: 'Canonical to parent ONLY when the variant has no search intent of its own.'
FOOTER BANNER: Comment "VARIANTS" for the cheat sheet | Muhammad Mehrooz Shafique · Permanent SEO
BOTTOM BAR: Comment "VARIANTS" for Variant Canonical Rules Cheat Sheet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</si>
  <si>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VARIANTS</t>
  </si>
  <si>
    <t xml:space="preserve">Variant Canonical Rules Cheat Sheet (PDF)</t>
  </si>
  <si>
    <t xml:space="preserve">Variant canonical rule:
Colour with its own search demand → own URL, self-canonical.
Size with no search demand → option on one URL.
Canonicalising everything to the parent can hide pages people actually search for. #EcommerceSEO #TechnicalSEO</t>
  </si>
  <si>
    <t xml:space="preserve">9 robots.txt mistakes on Shopify and WooCommerce stores</t>
  </si>
  <si>
    <t xml:space="preserve">9 robots.txt mistakes that quietly hurt online stores</t>
  </si>
  <si>
    <t xml:space="preserve">robots.txt ecommerce</t>
  </si>
  <si>
    <t xml:space="preserve">shopify robots.txt.liquid, woocommerce robots.txt, robots.txt mistakes, disallow vs noindex, robots.txt report search console</t>
  </si>
  <si>
    <t xml:space="preserve">9 robots.txt mistakes that quietly hurt online stores.
Robots.txt is one small text file. It can still block your whole catalog.
First, the thing most people get wrong: robots.txt controls crawling, not indexing. A blocked URL can still show in Google if other pages link to it.
The mistakes I see most on Shopify and WooCommerce:
→ Blocking CSS and JS that Google needs to render product pages
→ Blocking a page you want deindexed (Google can't see the noindex)
→ Shipping staging's "Disallow: /" to the live store
→ Replacing Shopify's default rules in robots.txt.liquid instead of adding to them
→ Letting WooCommerce filter and orderby parameters run wild
→ Wildcard and case typos that block real folders
→ No Sitemap line, and never checking GSC's robots.txt report
All 9, with fixes, in the carousel.
Takeaway: edit robots.txt like production code. Test every change.
Comment "ROBOTSTXT" and I'll send you the Robots.txt Templates for Shopify and WooCommerce (annotated .txt files).
#TechnicalSEO #RobotsTxt #ShopifySEO #WooCommerce</t>
  </si>
  <si>
    <t xml:space="preserve">#TechnicalSEO #RobotsTxt #ShopifySEO #WooCommerce</t>
  </si>
  <si>
    <t xml:space="preserve">9 robots.txt mistakes that hurt online stores.
→ Blocking CSS/JS
→ Blocking pages you want noindexed
→ Staging "Disallow: /" left live
→ Deleting Shopify's default rules
→ Wildcard typos
Robots.txt controls crawling, not indexing.
Save this for your next store audit. Share it with your developer.
Comment "ROBOTSTXT" for the Robots.txt Templates for Shopify and WooCommerce (annotated .txt files).
#technicalseo #robotstxt #shopifyseo #woocommerceseo #ecommerceseo #seotips #onlinestore #googlebot #seoexpert #wordpressseo #searchengineoptimization #storeowner</t>
  </si>
  <si>
    <t xml:space="preserve">#technicalseo #robotstxt #shopifyseo #woocommerceseo #ecommerceseo #seotips #onlinestore #googlebot #seoexpert #wordpressseo #searchengineoptimization #storeowner</t>
  </si>
  <si>
    <t xml:space="preserve">Slide 1: 9 robots.txt mistakes that hurt online stores | Shopify + WooCommerce edition. Swipe →
Slide 2: First: what robots.txt does | It controls crawling, not indexing. A blocked URL can still appear in Google if it's linked.
Slide 3: Mistake 1: Blocking CSS or JS | Google needs them to render your product pages. Never disallow /wp-content/ or theme assets.
Slide 4: Mistake 2: Blocking a page you want removed | If Google can't crawl it, it can't see your noindex tag. Allow crawl + noindex, or remove the page.
Slide 5: Mistake 3: Leaving 'Disallow: /' after launch | Staging rules shipped to live. Check this file on every launch or migration.
Slide 6: Mistake 4: Deleting Shopify's default rules | robots.txt.liquid lets you edit. Keep the defaults for /cart, /checkout, /search and sort URLs. Add, don't replace.
Slide 7: Mistake 5: Not handling filter parameters | WooCommerce ?filter_ and ?orderby= URLs can multiply. Decide which to block based on scale.
Slide 8: Mistake 6 + 7: Wildcard typos and case errors | Paths are case-sensitive. One wrong * can block your whole /products/ folder. Test before saving.
Slide 9: Mistake 8 + 9: No sitemap line, never testing | Add Sitemap: https://yourstore.com/sitemap.xml. Check GSC's robots.txt report after every change.
Slide 10: Get both templates | Comment ROBOTSTXT for annotated Shopify + WooCommerce robots.txt files. Follow Muhammad Mehrooz Shafique for more.
INSTAGRAM VERSION (8 slides): merge slides 6+7 and drop slide 2 text into slide 1 subtext.</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</si>
  <si>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9 robots.txt mistakes that hurt online stores | Shopify + WooCommerce edition. Swipe →
Slide 2: First: what robots.txt does | It controls crawling, not indexing. A blocked URL can still appear in Google if it's linked.
Slide 3: Mistake 1: Blocking CSS or JS | Google needs them to render your product pages. Never disallow /wp-content/ or theme assets.
Slide 4: Mistake 2: Blocking a page you want removed | If Google can't crawl it, it can't see your noindex tag. Allow crawl + noindex, or remove the page.
Slide 5: Mistake 3: Leaving 'Disallow: /' after launch | Staging rules shipped to live. Check this file on every launch or migration.
Slide 6: Mistake 4: Deleting Shopify's default rules | robots.txt.liquid lets you edit. Keep the defaults for /cart, /checkout, /search and sort URLs. Add, don't replace.
Slide 7: Mistake 5: Not handling filter parameters | WooCommerce ?filter_ and ?orderby= URLs can multiply. Decide which to block based on scale.
Slide 8: Mistake 6 + 7: Wildcard typos and case errors | Paths are case-sensitive. One wrong * can block your whole /products/ folder. Test before saving.
Slide 9: Mistake 8 + 9: No sitemap line, never testing | Add Sitemap: https://yourstore.com/sitemap.xml. Check GSC's robots.txt report after every change.
Slide 10: Get both templates | Comment ROBOTSTXT for annotated Shopify + WooCommerce robots.txt files. Follow Muhammad Mehrooz Shafique for more.
INSTAGRAM VERSION (8 slides): merge slides 6+7 and drop slide 2 text into slide 1 subtext.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</si>
  <si>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9 robots.txt mistakes that hurt online stores | Shopify + WooCommerce edition. Swipe →
Slide 2: First: what robots.txt does | It controls crawling, not indexing. A blocked URL can still appear in Google if it's linked.
Slide 3: Mistake 1: Blocking CSS or JS | Google needs them to render your product pages. Never disallow /wp-content/ or theme assets.
Slide 4: Mistake 2: Blocking a page you want removed | If Google can't crawl it, it can't see your noindex tag. Allow crawl + noindex, or remove the page.
Slide 5: Mistake 3: Leaving 'Disallow: /' after launch | Staging rules shipped to live. Check this file on every launch or migration.
Slide 6: Mistake 4: Deleting Shopify's default rules | robots.txt.liquid lets you edit. Keep the defaults for /cart, /checkout, /search and sort URLs. Add, don't replace.
Slide 7: Mistake 5: Not handling filter parameters | WooCommerce ?filter_ and ?orderby= URLs can multiply. Decide which to block based on scale.
Slide 8: Mistake 6 + 7: Wildcard typos and case errors | Paths are case-sensitive. One wrong * can block your whole /products/ folder. Test before saving.
Slide 9: Mistake 8 + 9: No sitemap line, never testing | Add Sitemap: https://yourstore.com/sitemap.xml. Check GSC's robots.txt report after every change.
Slide 10: Get both templates | Comment ROBOTSTXT for annotated Shopify + WooCommerce robots.txt files. Follow Muhammad Mehrooz Shafique for more.
INSTAGRAM VERSION (8 slides): merge slides 6+7 and drop slide 2 text into slide 1 subtext.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</si>
  <si>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ROBOTSTXT</t>
  </si>
  <si>
    <t xml:space="preserve">Robots.txt Templates for Shopify and WooCommerce (annotated .txt files)</t>
  </si>
  <si>
    <t xml:space="preserve">9 robots.txt mistakes that hurt online stores (thread)
First: robots.txt controls crawling, not indexing. A blocked URL can still appear in Google if it's linked.
---
1. Blocking CSS/JS. Google needs them to render product pages.
2. Blocking a page you want removed. Google can't see a noindex on a page it can't crawl.
---
3. Staging's "Disallow: /" shipped to the live store. Check robots.txt on every launch.
4. Replacing Shopify's default rules in robots.txt.liquid. Add to them, don't delete them.
---
5. Ignoring WooCommerce ?filter_ and ?orderby= parameters on large catalogs.
6-7. Wildcard and case typos. Paths are case-sensitive.
---
8. No Sitemap: line.
9. Never checking the robots.txt report in Search Console.
Treat robots.txt like production code. #TechnicalSEO #ShopifySEO</t>
  </si>
  <si>
    <t xml:space="preserve">r/TechSEO</t>
  </si>
  <si>
    <t xml:space="preserve">Robots.txt mistakes I keep finding on Shopify and WooCommerce stores</t>
  </si>
  <si>
    <t xml:space="preserve">I review a lot of e-commerce sites and the same robots.txt problems come up again and again, so I wrote them down.
1. Blocking CSS or JS folders. Google renders pages, and blocked assets can affect how product pages are understood.
2. Using Disallow on pages people want deindexed. If Googlebot can't crawl the page, it never sees the noindex tag. Allow crawling and noindex, or remove the page.
3. Staging rules (Disallow: /) left in place after launch.
4. On Shopify, editing robots.txt.liquid by replacing the default rule set instead of appending to it.
5. On WooCommerce, letting ?filter_ and ?orderby= parameters run without any plan on large catalogs.
6. Wildcard and case mistakes. Paths are case-sensitive and one stray * can block a whole folder.
7. No Sitemap line, and nobody checking the robots.txt report in Search Console after edits.
None of this is new, but it is still very common. What robots.txt problem have you found on a store that surprised you most?</t>
  </si>
  <si>
    <t xml:space="preserve">Core Web Vitals for product pages: thresholds and usual culprits</t>
  </si>
  <si>
    <t xml:space="preserve">LCP 2.5s. INP 200ms. CLS 0.1. What breaks each on product pages.</t>
  </si>
  <si>
    <t xml:space="preserve">core web vitals product pages</t>
  </si>
  <si>
    <t xml:space="preserve">lcp shopify, inp ecommerce, cls product page, page experience ecommerce, pagespeed product page</t>
  </si>
  <si>
    <t xml:space="preserve">LCP 2.5s. INP 200ms. CLS 0.1. Here's what breaks each one on a product page.
Google's "good" thresholds for Core Web Vitals, measured at the 75th percentile of real visits:
→ LCP (loading): 2.5 seconds or less
→ INP (responsiveness): 200 milliseconds or less
→ CLS (visual stability): 0.1 or less
On product pages, the culprits are predictable.
LCP: a huge hero product image, lazy-loaded by mistake, served from a slow app or as a heavy PNG.
INP: variant pickers, reviews widgets and upsell apps running heavy JavaScript on every tap.
CLS: review stars, price badges and "buy now, pay later" banners loading late and pushing content down.
The table in the image maps each metric to its threshold, the usual cause on product pages, and the first fix to try.
Check your own field data in Search Console's Core Web Vitals report: [YOUR GSC DATA].
Speed on product pages is not vanity. It's the page where people decide to buy.
Comment "PDPVITALS" and I'll send you the Product Page Core Web Vitals Fix List (Notion checklist).
#CoreWebVitals #PageSpeed #EcommerceSEO #ShopifySEO</t>
  </si>
  <si>
    <t xml:space="preserve">LCP 2.5s. INP 200ms. CLS 0.1.
What breaks them on product pages:
→ LCP: heavy or lazy-loaded hero image
→ INP: variant pickers + app scripts
→ CLS: late review stars and BNPL banners
Check your field data in Search Console.
Save this for your next store audit. Share it with your developer.
Comment "PDPVITALS" for the Product Page Core Web Vitals Fix List (Notion checklist).
#corewebvitals #pagespeed #ecommerceseo #shopifyseo #woocommerce #technicalseo #websitespeed #productpage #seotips #onlinestore #ux #seoexpert #permanentseo</t>
  </si>
  <si>
    <t xml:space="preserve">#corewebvitals #pagespeed #ecommerceseo #shopifyseo #woocommerce #technicalseo #websitespeed #productpage #seotips #onlinestore #ux #seoexpert #permanentseo</t>
  </si>
  <si>
    <t xml:space="preserve">Single image, 1080x1350. Comparison table infographic. Off-white background, navy table, lime/amber/red status dots.
HEADLINE: CORE WEB VITALS ON PRODUCT PAGES
SUB-HEADLINE: Google's 'good' thresholds + what usually breaks them
TABLE (4 columns: Metric | Good | Usual culprit on PDPs | First fix):
Row 1: LCP — Loading | ≤ 2.5s | Huge or lazy-loaded hero image | Preload hero, WebP/AVIF, no lazy-load above the fold
Row 2: INP — Responsiveness | ≤ 200ms | Variant pickers, review + upsell app JS | Remove unused apps, defer non-critical scripts
Row 3: CLS — Visual stability | ≤ 0.1 | Late review stars, BNPL banners, badges | Reserve space with fixed heights, set image width/height
UNDER TABLE: three status pills 'Good / Needs improvement / Poor' with note 'Measured at the 75th percentile of real users'.
SMALL BOX: 'Where to check: Search Console → Core Web Vitals (field data). PageSpeed Insights for single URLs.'
FOOTER BANNER: Comment "PDPVITALS" for the fix list |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</si>
  <si>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"LCP 2.5s. INP 200ms. CLS 0.1. What breaks each on product pages."
SUBHEAD: "Core Web Vitals for product pages: thresholds and usual culprits"
MAIN VISUAL: the layout described below containing exactly: 
Single image, 1080x1350. Comparison table infographic. Off-white background, navy table, lime/amber/red status dots.
HEADLINE: CORE WEB VITALS ON PRODUCT PAGES
SUB-HEADLINE: Google's 'good' thresholds + what usually breaks them
TABLE (4 columns: Metric | Good | Usual culprit on PDPs | First fix):
Row 1: LCP — Loading | ≤ 2.5s | Huge or lazy-loaded hero image | Preload hero, WebP/AVIF, no lazy-load above the fold
Row 2: INP — Responsiveness | ≤ 200ms | Variant pickers, review + upsell app JS | Remove unused apps, defer non-critical scripts
Row 3: CLS — Visual stability | ≤ 0.1 | Late review stars, BNPL banners, badges | Reserve space with fixed heights, set image width/height
UNDER TABLE: three status pills 'Good / Needs improvement / Poor' with note 'Measured at the 75th percentile of real users'.
SMALL BOX: 'Where to check: Search Console → Core Web Vitals (field data). PageSpeed Insights for single URLs.'
FOOTER BANNER: Comment "PDPVITALS" for the fix list | Muhammad Mehrooz Shafique · Permanent SEO
CTA BANNER (bottom, navy rounded box, white text, keyword in blue): Comment "PDPVITALS" for Product Page Core Web Vitals Fix List (Notion checklist)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</si>
  <si>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"LCP 2.5s. INP 200ms. CLS 0.1. What breaks each on product pages."
BODY (numbered points / simple visual): the 3–5 key points from this brief, shortened to max 8 words each:
Single image, 1080x1350. Comparison table infographic. Off-white background, navy table, lime/amber/red status dots.
HEADLINE: CORE WEB VITALS ON PRODUCT PAGES
SUB-HEADLINE: Google's 'good' thresholds + what usually breaks them
TABLE (4 columns: Metric | Good | Usual culprit on PDPs | First fix):
Row 1: LCP — Loading | ≤ 2.5s | Huge or lazy-loaded hero image | Preload hero, WebP/AVIF, no lazy-load above the fold
Row 2: INP — Responsiveness | ≤ 200ms | Variant pickers, review + upsell app JS | Remove unused apps, defer non-critical scripts
Row 3: CLS — Visual stability | ≤ 0.1 | Late review stars, BNPL banners, badges | Reserve space with fixed heights, set image width/height
UNDER TABLE: three status pills 'Good / Needs improvement / Poor' with note 'Measured at the 75th percentile of real users'.
SMALL BOX: 'Where to check: Search Console → Core Web Vitals (field data). PageSpeed Insights for single URLs.'
FOOTER BANNER: Comment "PDPVITALS" for the fix list | Muhammad Mehrooz Shafique · Permanent SEO
BOTTOM BAR: Comment "PDPVITALS" for Product Page Core Web Vitals Fix List (Notion checklist)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</si>
  <si>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PDPVITALS</t>
  </si>
  <si>
    <t xml:space="preserve">Product Page Core Web Vitals Fix List (Notion checklist)</t>
  </si>
  <si>
    <t xml:space="preserve">Core Web Vitals on product pages:
LCP ≤2.5s → usually a heavy hero image
INP ≤200ms → variant pickers + app scripts
CLS ≤0.1 → late review stars and BNPL banners
Check field data in Search Console, not just lab scores. #CoreWebVitals #EcommerceSEO</t>
  </si>
  <si>
    <t xml:space="preserve">Pagination myth: don't canonicalise collection page 2 to page 1</t>
  </si>
  <si>
    <t xml:space="preserve">We don't canonical page two to page one.</t>
  </si>
  <si>
    <t xml:space="preserve">pagination seo ecommerce</t>
  </si>
  <si>
    <t xml:space="preserve">rel next prev google, paginated collection pages, canonical pagination, infinite scroll seo, shopify pagination seo</t>
  </si>
  <si>
    <t xml:space="preserve">We don't canonical page 2 to page 1. Here's why.
A common "fix" for paginated collections:
→ Canonical every page to page 1
→ Or noindex pages 2+
→ Or replace it all with infinite scroll
Each one can cut off products that only appear deeper in the collection.
Google's guidance on e-commerce pagination is simple:
→ Link each page with normal, crawlable &lt;a href&gt; links
→ Give each page its own URL (?page=2, ?page=3)
→ Use a self-referencing canonical on each page, not one pointing to page 1
Also worth knowing: Google said in 2019 it no longer uses rel="next" and rel="prev" as an indexing signal. Leaving them in is harmless. Relying on them is not a strategy.
If you use infinite scroll or "load more", make sure a paginated URL version still exists underneath.
Pagination isn't duplicate content. It's how Google reaches your products.
Comment "PAGINATION" and I'll send you the Collection Pagination SEO Checklist (PDF).
#TechnicalSEO #Pagination #EcommerceSEO #ShopifySEO</t>
  </si>
  <si>
    <t xml:space="preserve">#TechnicalSEO #Pagination #EcommerceSEO #ShopifySEO</t>
  </si>
  <si>
    <t xml:space="preserve">We don't canonical page 2 to page 1.
Pagination needs:
→ Crawlable &lt;a href&gt; links
→ A URL for every page
→ A self-canonical on each page
Hide page 2 and the products on it lose links.
Pagination is a path, not duplicate content.
Save this for your next store audit. Share it with your developer.
Comment "PAGINATION" for the Collection Pagination SEO Checklist (PDF).
#technicalseo #pagination #ecommerceseo #shopifyseo #woocommerceseo #seotips #canonicaltag #onlinestore #seomyths #seoexpert #searchengineoptimization #permanentseo</t>
  </si>
  <si>
    <t xml:space="preserve">#technicalseo #pagination #ecommerceseo #shopifyseo #woocommerceseo #seotips #canonicaltag #onlinestore #seomyths #seoexpert #searchengineoptimization #permanentseo</t>
  </si>
  <si>
    <t xml:space="preserve">[0-2s] VO: We don't canonical page two to page one. | ON-SCREEN: WE DON'T CANONICAL PAGE 2 TO PAGE 1. | VISUAL: Two collection pages, arrow crossed out
[2-4s] VO: We let every page stand. | ON-SCREEN: WE LET EVERY PAGE STAND. | VISUAL: Pages line up side by side
[4-6s] VO: Most stores do this instead. | ON-SCREEN: MOST STORES DO THIS: | VISUAL: Fast cut
[6-7s] VO: Noindex. | ON-SCREEN: NOINDEX. | VISUAL: Word stamps
[7-8s] VO: Canonicals. | ON-SCREEN: CANONICALS. | VISUAL: Word stamps
[8-9s] VO: Infinite scroll. | ON-SCREEN: INFINITE SCROLL. | VISUAL: Word stamps
[9-12s] VO: But Google needs three things from pagination. | ON-SCREEN: BUT GOOGLE NEEDS 3 THINGS. | VISUAL: Three slots
[12-15s] VO: A real link to every page. | ON-SCREEN: 1. CRAWLABLE &lt;a href&gt; LINKS | VISUAL: HTML link highlight
[15-18s] VO: A self-referencing canonical on each page. | ON-SCREEN: 2. SELF-CANONICAL ON EACH PAGE | VISUAL: page=2 → canonical page=2
[18-21s] VO: And a URL for every page of products. | ON-SCREEN: 3. A URL FOR EVERY PAGE | VISUAL: ?page=3 URL
[21-25s] VO: Hide page two, and the products on it get fewer links. | ON-SCREEN: HIDE PAGE 2 → PRODUCTS LOSE LINKS | VISUAL: Products on page 2 fade
[25-27s] VO: Some disappear. | ON-SCREEN: SOME DISAPPEAR. | VISUAL: Product vanishes
[27-31s] VO: Pagination isn't duplicate content. It's a path. | ON-SCREEN: PAGINATION IS A PATH. | VISUAL: Logo + Comment PAGINATION</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</si>
  <si>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canonical page two to page one. | ON-SCREEN: WE DON'T CANONICAL PAGE 2 TO PAGE 1. | VISUAL: Two collection pages, arrow crossed out
[2-4s] VO: We let every page stand. | ON-SCREEN: WE LET EVERY PAGE STAND. | VISUAL: Pages line up side by side
[4-6s] VO: Most stores do this instead. | ON-SCREEN: MOST STORES DO THIS: | VISUAL: Fast cut
[6-7s] VO: Noindex. | ON-SCREEN: NOINDEX. | VISUAL: Word stamps
[7-8s] VO: Canonicals. | ON-SCREEN: CANONICALS. | VISUAL: Word stamps
[8-9s] VO: Infinite scroll. | ON-SCREEN: INFINITE SCROLL. | VISUAL: Word stamps
[9-12s] VO: But Google needs three things from pagination. | ON-SCREEN: BUT GOOGLE NEEDS 3 THINGS. | VISUAL: Three slots
[12-15s] VO: A real link to every page. | ON-SCREEN: 1. CRAWLABLE &lt;a href&gt; LINKS | VISUAL: HTML link highlight
[15-18s] VO: A self-referencing canonical on each page. | ON-SCREEN: 2. SELF-CANONICAL ON EACH PAGE | VISUAL: page=2 → canonical page=2
[18-21s] VO: And a URL for every page of products. | ON-SCREEN: 3. A URL FOR EVERY PAGE | VISUAL: ?page=3 URL
[21-25s] VO: Hide page two, and the products on it get fewer links. | ON-SCREEN: HIDE PAGE 2 → PRODUCTS LOSE LINKS | VISUAL: Products on page 2 fade
[25-27s] VO: Some disappear. | ON-SCREEN: SOME DISAPPEAR. | VISUAL: Product vanishes
[27-31s] VO: Pagination isn't duplicate content. It's a path. | ON-SCREEN: PAGINATION IS A PATH. | VISUAL: Logo + Comment PAGINATION
Final 3 s: dark/navy end card with Permanent SEO logo, 'SEO for E-commerce Brands' and 'Comment "PAGINATION"'. Burned-in captions. All text spelled exactly as written, sharp and legible on mobile; no extra words, no watermarks.</t>
  </si>
  <si>
    <t xml:space="preserve">PAGINATION</t>
  </si>
  <si>
    <t xml:space="preserve">Collection Pagination SEO Checklist (PDF)</t>
  </si>
  <si>
    <t xml:space="preserve">Pagination myth: canonical page 2 to page 1.
Don't. Give each page its own URL, crawlable &lt;a href&gt; links and a self-canonical. Otherwise products deeper in the collection lose links. #TechnicalSEO #EcommerceSEO</t>
  </si>
  <si>
    <t xml:space="preserve">Pagination SEO for Ecommerce: Stop Canonicalising Page 2</t>
  </si>
  <si>
    <t xml:space="preserve">Pagination SEO for ecommerce collections: why you should not canonicalise page 2 to page 1, and the three things Google needs from paginated pages. #Shorts</t>
  </si>
  <si>
    <t xml:space="preserve">pagination seo, ecommerce seo, canonical tag, shopify seo, woocommerce seo, technical seo, infinite scroll seo, rel next prev, collection pages, permanent seo</t>
  </si>
  <si>
    <t xml:space="preserve">Shopify app bloat: how leftover JavaScript slows product pages</t>
  </si>
  <si>
    <t xml:space="preserve">Uninstalled the app two years ago. Its code is still loading.</t>
  </si>
  <si>
    <t xml:space="preserve">shopify app bloat</t>
  </si>
  <si>
    <t xml:space="preserve">shopify speed apps, leftover app code shopify, javascript seo ecommerce, shopify inp, render blocking scripts shopify</t>
  </si>
  <si>
    <t xml:space="preserve">You uninstalled the app two years ago. Its code might still be loading.
Most slow Shopify stores don't have a design problem. They have a script problem.
Every app adds JavaScript. Reviews, upsells, wishlists, timers, chat, pop-ups. Many load on every page, including the ones that don't use them.
That hurts in two ways:
→ Shoppers wait longer for pages to load and respond (LCP and INP)
→ Google has more JavaScript to render before it sees your content
And uninstalling an app doesn't always remove what it added to your theme files.
Our 4-step app audit:
→ List every app and every script it loads, page by page
→ Remove what doesn't earn its place, and clean leftover theme code
→ Load kept scripts only where needed, defer the rest
→ Confirm prices, content and links show in the rendered HTML, then track field data
Full walkthrough in the video.
Comment "JSCLEANUP" and I'll send you the Shopify App Bloat Audit Template (Google Sheet).
#ShopifySEO #PageSpeed #JavaScriptSEO #TechnicalSEO</t>
  </si>
  <si>
    <t xml:space="preserve">#ShopifySEO #PageSpeed #JavaScriptSEO #TechnicalSEO</t>
  </si>
  <si>
    <t xml:space="preserve">Uninstalled the app. Its code is still loading.
Every app adds JavaScript.
Many load on every page.
Old apps can leave code in your theme.
Fix:
→ Audit every script
→ Remove + clean leftovers
→ Load only where needed
Save this for your next store audit. Share it with your developer.
Comment "JSCLEANUP" for the Shopify App Bloat Audit Template (Google Sheet).
#shopifyseo #shopifyapps #pagespeed #javascriptseo #technicalseo #corewebvitals #ecommerceseo #shopifystore #seotips #websitespeed #onlinestore #permanentseo</t>
  </si>
  <si>
    <t xml:space="preserve">#shopifyseo #shopifyapps #pagespeed #javascriptseo #technicalseo #corewebvitals #ecommerceseo #shopifystore #seotips #websitespeed #onlinestore #permanentseo</t>
  </si>
  <si>
    <t xml:space="preserve">Scene 1 [0-9s] VO: Okay. Reviews app. Upsell app. Wishlist. Countdown timer. Chat. Just one more... why is the store so slow? | VISUAL: Shopify admin, app icons stacking up on screen
Scene 2 [9-22s] VO: Let's be honest. Your store doesn't have a design problem. It has a script problem. Every app adds JavaScript, and a lot of it loads on every page. | VISUAL: Product page waterfall chart filling with script bars
Scene 3 [22-35s] VO: Shoppers wait for the page to respond. Google has to render all that JavaScript too. And apps you uninstalled two years ago can still leave code in your theme. | VISUAL: Ghost app icons fading but code lines remain
Scene 4 [35-40s] VO: It's time to clean it up. | VISUAL: Title card: CLEAN THE APP STACK
Scene 5 [40-52s] VO: At Permanent SEO, we audit every app by what it costs in speed against what it earns in sales. | VISUAL: Scale: speed cost vs revenue
Scene 6 [52-66s] VO: Step one. We list every app and every script it loads, page by page, using Chrome DevTools coverage and the network tab. | VISUAL: DevTools coverage panel, red unused code
Scene 7 [66-80s] VO: Step two. We remove apps that don't earn their place and clean leftover code from old ones in the theme files. | VISUAL: theme.liquid with highlighted leftover snippets being deleted
Scene 8 [80-95s] VO: Step three. For apps you keep, we load scripts only on pages that need them, and defer what isn't needed for the first view. | VISUAL: Script tags gaining 'defer', pages toggling
Scene 9 [95-106s] VO: Step four. We check that key content, prices and links are in the rendered HTML with URL Inspection. Then we track INP and LCP in field data. [CLIENT RESULT: INP from Xms to Yms]. | VISUAL: GSC URL Inspection screenshot, CWV chart placeholder
Scene 10 [106-116s] VO: Comment JSCLEANUP for the audit template. Or book a free e-commerce SEO audit with Permanent SEO. | VISUAL: End card
VERTICAL CUT (40s, IG Reels): Scenes 1, 2, 3, 6, 7, 10.</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</si>
  <si>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[0-9s] VO: Okay. Reviews app. Upsell app. Wishlist. Countdown timer. Chat. Just one more... why is the store so slow? | VISUAL: Shopify admin, app icons stacking up on screen
Scene 2 [9-22s] VO: Let's be honest. Your store doesn't have a design problem. It has a script problem. Every app adds JavaScript, and a lot of it loads on every page. | VISUAL: Product page waterfall chart filling with script bars
Scene 3 [22-35s] VO: Shoppers wait for the page to respond. Google has to render all that JavaScript too. And apps you uninstalled two years ago can still leave code in your theme. | VISUAL: Ghost app icons fading but code lines remain
Scene 4 [35-40s] VO: It's time to clean it up. | VISUAL: Title card: CLEAN THE APP STACK
Scene 5 [40-52s] VO: At Permanent SEO, we audit every app by what it costs in speed against what it earns in sales. | VISUAL: Scale: speed cost vs revenue
Scene 6 [52-66s] VO: Step one. We list every app and every script it loads, page by page, using Chrome DevTools coverage and the network tab. | VISUAL: DevTools coverage panel, red unused code
Scene 7 [66-80s] VO: Step two. We remove apps that don't earn their place and clean leftover code from old ones in the theme files. | VISUAL: theme.liquid with highlighted leftover snippets being deleted
Scene 8 [80-95s] VO: Step three. For apps you keep, we load scripts only on pages that need them, and defer what isn't needed for the first view. | VISUAL: Script tags gaining 'defer', pages toggling
Scene 9 [95-106s] VO: Step four. We check that key content, prices and links are in the rendered HTML with URL Inspection. Then we track INP and LCP in field data. [CLIENT RESULT: INP from Xms to Yms]. | VISUAL: GSC URL Inspection screenshot, CWV chart placeholder
Scene 10 [106-116s] VO: Comment JSCLEANUP for the audit template. Or book a free e-commerce SEO audit with Permanent SEO. | VISUAL: End card
VERTICAL CUT (40s, IG Reels): Scenes 1, 2, 3, 6, 7, 10.
End card: Permanent SEO logo + 'Comment "JSCLEANUP"'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</si>
  <si>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[0-9s] VO: Okay. Reviews app. Upsell app. Wishlist. Countdown timer. Chat. Just one more... why is the store so slow? | VISUAL: Shopify admin, app icons stacking up on screen
Scene 2 [9-22s] VO: Let's be honest. Your store doesn't have a design problem. It has a script problem. Every app adds JavaScript, and a lot of it loads on every page. | VISUAL: Product page waterfall chart filling with script bars
Scene 3 [22-35s] VO: Shoppers wait for the page to respond. Google has to render all that JavaScript too. And apps you uninstalled two years ago can still leave code in your theme. | VISUAL: Ghost app icons fading but code lines remain
Scene 4 [35-40s] VO: It's time to clean it up. | VISUAL: Title card: CLEAN THE APP STACK
Scene 5 [40-52s] VO: At Permanent SEO, we audit every app by what it costs in speed against what it earns in sales. | VISUAL: Scale: speed cost vs revenue
Scene 6 [52-66s] VO: Step one. We list every app and every script it loads, page by page, using Chrome DevTools coverage and the network tab. | VISUAL: DevTools coverage panel, red unused code
Scene 7 [66-80s] VO: Step two. We remove apps that don't earn their place and clean leftover code from old ones in the theme files. | VISUAL: theme.liquid with highlighted leftover snippets being deleted
Scene 8 [80-95s] VO: Step three. For apps you keep, we load scripts only on pages that need them, and defer what isn't needed for the first view. | VISUAL: Script tags gaining 'defer', pages toggling
Scene 9 [95-106s] VO: Step four. We check that key content, prices and links are in the rendered HTML with URL Inspection. Then we track INP and LCP in field data. [CLIENT RESULT: INP from Xms to Yms]. | VISUAL: GSC URL Inspection screenshot, CWV chart placeholder
Scene 10 [106-116s] VO: Comment JSCLEANUP for the audit template. Or book a free e-commerce SEO audit with Permanent SEO. | VISUAL: End card
VERTICAL CUT (40s, IG Reels): Scenes 1, 2, 3, 6, 7, 10.
Final 3 s: dark/navy end card with Permanent SEO logo, 'SEO for E-commerce Brands' and 'Comment "JSCLEANUP"'. Burned-in captions. All text spelled exactly as written, sharp and legible on mobile; no extra words, no watermarks.</t>
  </si>
  <si>
    <t xml:space="preserve">JSCLEANUP</t>
  </si>
  <si>
    <t xml:space="preserve">Shopify App Bloat Audit Template (Google Sheet)</t>
  </si>
  <si>
    <t xml:space="preserve">Slow Shopify store? Check your apps.
Every app adds JavaScript, often on every page. Uninstalled apps can leave code in your theme.
Audit scripts, remove what doesn't earn its place, defer the rest. #ShopifySEO #PageSpeed</t>
  </si>
  <si>
    <t xml:space="preserve">Shopify App Bloat: Fix Slow Product Pages Caused by Apps</t>
  </si>
  <si>
    <t xml:space="preserve">Shopify app bloat is one of the most common causes of slow product pages and poor INP. Muhammad Mehrooz Shafique from Permanent SEO shows a 4-step app audit to remove leftover code and load scripts only where needed.</t>
  </si>
  <si>
    <t xml:space="preserve">shopify app bloat, shopify speed, shopify seo, javascript seo, core web vitals, inp, page speed, technical seo, ecommerce seo, permanent seo</t>
  </si>
  <si>
    <t xml:space="preserve">Free guide preview: XML sitemaps for Shopify and WooCommerce</t>
  </si>
  <si>
    <t xml:space="preserve">Your sitemap should be a list of pages you want ranked.</t>
  </si>
  <si>
    <t xml:space="preserve">xml sitemap ecommerce</t>
  </si>
  <si>
    <t xml:space="preserve">shopify sitemap, woocommerce sitemap, sitemap index search console, sitemap errors, lastmod sitemap</t>
  </si>
  <si>
    <t xml:space="preserve">Your sitemap should be a list of pages you want ranked. Most aren't.
A clean XML sitemap tells Google: these are my canonical, indexable pages.
What I usually find instead:
→ Redirected and 404 product URLs still listed
→ Noindexed pages inside the sitemap
→ Non-canonical variant or filter URLs
→ lastmod dates that change on every page, every day (so Google learns to ignore them)
→ Sitemaps never submitted, or never checked, in Search Console
Shopify generates sitemaps automatically, which is helpful. But it still lists whatever your store publishes, including thin pages you never meant to rank. On WooCommerce, the sitemap depends on your SEO plugin settings.
So I wrote a free guide covering both platforms:
1. What belongs in a store sitemap
2. Shopify's sitemap structure explained
3. WooCommerce + Yoast / Rank Math settings
4. Splitting sitemaps by type for clearer GSC data
5. Using lastmod honestly
6. Image sitemaps for product photos
7. Reading the Sitemaps report in GSC
8. A monthly 10-minute sitemap check
Comment "SITEMAPS" and I'll send you the XML Sitemap Guide for Online Stores (8-chapter PDF).
#TechnicalSEO #XMLSitemap #EcommerceSEO #FreeGuide</t>
  </si>
  <si>
    <t xml:space="preserve">#TechnicalSEO #XMLSitemap #EcommerceSEO #FreeGuide</t>
  </si>
  <si>
    <t xml:space="preserve">Your sitemap = pages you want ranked.
Google should only see pages you want ranked.
What I usually find instead:
→ 404 and redirected URLs
→ Noindexed pages
→ Variant and filter duplicates
→ Fake lastmod dates
8-chapter guide for Shopify + WooCommerce.
Save this for your next store audit. Share it with your developer.
Comment "SITEMAPS" for the XML Sitemap Guide for Online Stores (8-chapter PDF).
#technicalseo #xmlsitemap #ecommerceseo #shopifyseo #woocommerceseo #googlesearchconsole #seotips #onlinestore #freeguide #seoexpert #searchengineoptimization #permanentseo</t>
  </si>
  <si>
    <t xml:space="preserve">#technicalseo #xmlsitemap #ecommerceseo #shopifyseo #woocommerceseo #googlesearchconsole #seotips #onlinestore #freeguide #seoexpert #searchengineoptimization #permanentseo</t>
  </si>
  <si>
    <t xml:space="preserve">Single image, 1080x1350. 'Guide preview' cover style. Deep navy background, lime accents, mock PDF cover tilted on the left.
TOP LABEL: FREE GUIDE
HEADLINE (huge, condensed): THE XML SITEMAP GUIDE FOR ONLINE STORES
SUB-HEADLINE: Shopify + WooCommerce. What to include, what to remove, how to check it.
RIGHT SIDE NUMBERED CONTENTS:
01 What belongs in a store sitemap
02 Shopify's sitemap structure explained
03 WooCommerce + Yoast / Rank Math settings
04 Splitting sitemaps by type
05 Using lastmod honestly
06 Image sitemaps for product photos
07 Reading the GSC Sitemaps report
08 The monthly 10-minute check
BOTTOM FULL-WIDTH BANNER (lime, bold): Comment "SITEMAPS" for free access
FOOTER: Muhammad Mehrooz Shafique · Co-Founder,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</si>
  <si>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"Your sitemap should be a list of pages you want ranked."
SUBHEAD: "Free guide preview: XML sitemaps for Shopify and WooCommerce"
MAIN VISUAL: the layout described below containing exactly: 
Single image, 1080x1350. 'Guide preview' cover style. Deep navy background, lime accents, mock PDF cover tilted on the left.
TOP LABEL: FREE GUIDE
HEADLINE (huge, condensed): THE XML SITEMAP GUIDE FOR ONLINE STORES
SUB-HEADLINE: Shopify + WooCommerce. What to include, what to remove, how to check it.
RIGHT SIDE NUMBERED CONTENTS:
01 What belongs in a store sitemap
02 Shopify's sitemap structure explained
03 WooCommerce + Yoast / Rank Math settings
04 Splitting sitemaps by type
05 Using lastmod honestly
06 Image sitemaps for product photos
07 Reading the GSC Sitemaps report
08 The monthly 10-minute check
BOTTOM FULL-WIDTH BANNER (lime, bold): Comment "SITEMAPS" for free access
FOOTER: Muhammad Mehrooz Shafique · Co-Founder, Permanent SEO
CTA BANNER (bottom, navy rounded box, white text, keyword in blue): Comment "SITEMAPS" for XML Sitemap Guide for Online Stores (8-chapter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</si>
  <si>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"Your sitemap should be a list of pages you want ranked."
BODY (numbered points / simple visual): the 3–5 key points from this brief, shortened to max 8 words each:
Single image, 1080x1350. 'Guide preview' cover style. Deep navy background, lime accents, mock PDF cover tilted on the left.
TOP LABEL: FREE GUIDE
HEADLINE (huge, condensed): THE XML SITEMAP GUIDE FOR ONLINE STORES
SUB-HEADLINE: Shopify + WooCommerce. What to include, what to remove, how to check it.
RIGHT SIDE NUMBERED CONTENTS:
01 What belongs in a store sitemap
02 Shopify's sitemap structure explained
03 WooCommerce + Yoast / Rank Math settings
04 Splitting sitemaps by type
05 Using lastmod honestly
06 Image sitemaps for product photos
07 Reading the GSC Sitemaps report
08 The monthly 10-minute check
BOTTOM FULL-WIDTH BANNER (lime, bold): Comment "SITEMAPS" for free access
FOOTER: Muhammad Mehrooz Shafique · Co-Founder, Permanent SEO
BOTTOM BAR: Comment "SITEMAPS" for XML Sitemap Guide for Online Stores (8-chapter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</si>
  <si>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SITEMAPS</t>
  </si>
  <si>
    <t xml:space="preserve">XML Sitemap Guide for Online Stores (8-chapter PDF)</t>
  </si>
  <si>
    <t xml:space="preserve">Your XML sitemap should only list canonical, indexable pages you want ranked.
Not 404s. Not redirects. Not noindexed pages. Not variant duplicates.
Wrote an 8-chapter guide for Shopify + WooCommerce stores. #TechnicalSEO #EcommerceSEO</t>
  </si>
  <si>
    <t xml:space="preserve">WooCommerce to Shopify migration: the 9-step redirect plan</t>
  </si>
  <si>
    <t xml:space="preserve">Moving from WooCommerce to Shopify? Read this before launch.</t>
  </si>
  <si>
    <t xml:space="preserve">woocommerce to shopify migration seo</t>
  </si>
  <si>
    <t xml:space="preserve">shopify 301 redirects, ecommerce migration checklist, redirect mapping, replatforming seo, shopify url redirects csv</t>
  </si>
  <si>
    <t xml:space="preserve">Moving from WooCommerce to Shopify? Read this before you launch.
Most migration traffic losses come from one thing: old URLs with nowhere to go.
Shopify uses fixed paths: /products/ and /collections/. Your WooCommerce URLs almost certainly look different. Every one with value needs a 301.
The plan we follow:
→ Crawl the old store and export every URL
→ Add URLs with clicks, traffic and backlinks (some never show in a crawl)
→ Map one-to-one: product to product, category to collection
→ Build 301s in Shopify (bulk CSV import works), no chains
→ Carry over titles, metas, H1s, copy, alt text and schema
→ Test the full old URL list after go-live
→ Submit the new sitemap and watch GSC daily for 2–4 weeks
The biggest mistake: redirecting everything to the homepage. Google can treat irrelevant redirects like soft 404s.
All 9 steps in the carousel.
Comment "REPLATFORM" and I'll send you the Store Migration Redirect Map Template (Google Sheet).
#SEOMigration #ShopifySEO #WooCommerce #TechnicalSEO</t>
  </si>
  <si>
    <t xml:space="preserve">#SEOMigration #ShopifySEO #WooCommerce #TechnicalSEO</t>
  </si>
  <si>
    <t xml:space="preserve">WooCommerce → Shopify? Read this first.
Most migration losses come from old URLs with nowhere to go.
→ Crawl every old URL
→ Map product to product
→ 301s, no chains
→ Carry over titles, copy, schema
→ Test after launch
Never redirect everything to the homepage.
Save this for your next store audit. Share it with your developer.
Comment "REPLATFORM" for the Store Migration Redirect Map Template (Google Sheet).
#seomigration #websitemigration #shopifyseo #woocommerce #technicalseo #ecommerceseo #redirects #shopifystore #seotips #replatforming #onlinestore #seoexpert #permanentseo</t>
  </si>
  <si>
    <t xml:space="preserve">#seomigration #websitemigration #shopifyseo #woocommerce #technicalseo #ecommerceseo #redirects #shopifystore #seotips #replatforming #onlinestore #seoexpert #permanentseo</t>
  </si>
  <si>
    <t xml:space="preserve">Slide 1: Moving from WooCommerce to Shopify? Read this first. | The 9-step redirect plan that protects your rankings.
Slide 2: Why migrations lose traffic | URLs change. Shopify uses fixed /products/ and /collections/ paths. Every old URL needs a new home.
Slide 3: Step 1: Crawl the old store | Export every URL: products, categories, pages, blog posts, images. Use a crawler + your old sitemap.
Slide 4: Step 2: Pull URLs with value | Add URLs with clicks (GSC), traffic (GA4) and backlinks. Some never show in a crawl.
Slide 5: Step 3: Map one-to-one | Old product → same new product. Old category → matching collection. Not everything to the homepage.
Slide 6: Step 4: Build the redirects | Shopify: URL Redirects in admin or bulk CSV import. Use 301s. No chains.
Slide 7: Step 5: Carry over on-page SEO | Titles, meta descriptions, H1s, product copy, alt text, structured data. Don't launch with defaults.
Slide 8: Step 6 + 7: Test before and after launch | Crawl the old URL list after go-live. Every one should 301 to a 200 page in one hop.
Slide 9: Step 8 + 9: Submit and monitor | Submit the new sitemap in GSC. Watch Page indexing and 404s daily for 2–4 weeks.
Slide 10: Get the redirect map template | Comment REPLATFORM for the sheet. Follow Muhammad Mehrooz Shafique for more store SEO.
INSTAGRAM VERSION (8 slides): drop slide 2, merge slides 3+4.</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</si>
  <si>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Moving from WooCommerce to Shopify? Read this first. | The 9-step redirect plan that protects your rankings.
Slide 2: Why migrations lose traffic | URLs change. Shopify uses fixed /products/ and /collections/ paths. Every old URL needs a new home.
Slide 3: Step 1: Crawl the old store | Export every URL: products, categories, pages, blog posts, images. Use a crawler + your old sitemap.
Slide 4: Step 2: Pull URLs with value | Add URLs with clicks (GSC), traffic (GA4) and backlinks. Some never show in a crawl.
Slide 5: Step 3: Map one-to-one | Old product → same new product. Old category → matching collection. Not everything to the homepage.
Slide 6: Step 4: Build the redirects | Shopify: URL Redirects in admin or bulk CSV import. Use 301s. No chains.
Slide 7: Step 5: Carry over on-page SEO | Titles, meta descriptions, H1s, product copy, alt text, structured data. Don't launch with defaults.
Slide 8: Step 6 + 7: Test before and after launch | Crawl the old URL list after go-live. Every one should 301 to a 200 page in one hop.
Slide 9: Step 8 + 9: Submit and monitor | Submit the new sitemap in GSC. Watch Page indexing and 404s daily for 2–4 weeks.
Slide 10: Get the redirect map template | Comment REPLATFORM for the sheet. Follow Muhammad Mehrooz Shafique for more store SEO.
INSTAGRAM VERSION (8 slides): drop slide 2, merge slides 3+4.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</si>
  <si>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Moving from WooCommerce to Shopify? Read this first. | The 9-step redirect plan that protects your rankings.
Slide 2: Why migrations lose traffic | URLs change. Shopify uses fixed /products/ and /collections/ paths. Every old URL needs a new home.
Slide 3: Step 1: Crawl the old store | Export every URL: products, categories, pages, blog posts, images. Use a crawler + your old sitemap.
Slide 4: Step 2: Pull URLs with value | Add URLs with clicks (GSC), traffic (GA4) and backlinks. Some never show in a crawl.
Slide 5: Step 3: Map one-to-one | Old product → same new product. Old category → matching collection. Not everything to the homepage.
Slide 6: Step 4: Build the redirects | Shopify: URL Redirects in admin or bulk CSV import. Use 301s. No chains.
Slide 7: Step 5: Carry over on-page SEO | Titles, meta descriptions, H1s, product copy, alt text, structured data. Don't launch with defaults.
Slide 8: Step 6 + 7: Test before and after launch | Crawl the old URL list after go-live. Every one should 301 to a 200 page in one hop.
Slide 9: Step 8 + 9: Submit and monitor | Submit the new sitemap in GSC. Watch Page indexing and 404s daily for 2–4 weeks.
Slide 10: Get the redirect map template | Comment REPLATFORM for the sheet. Follow Muhammad Mehrooz Shafique for more store SEO.
INSTAGRAM VERSION (8 slides): drop slide 2, merge slides 3+4.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</si>
  <si>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REPLATFORM</t>
  </si>
  <si>
    <t xml:space="preserve">Store Migration Redirect Map Template (Google Sheet)</t>
  </si>
  <si>
    <t xml:space="preserve">WooCommerce → Shopify migration: the redirect plan (thread)
Shopify uses fixed /products/ and /collections/ paths. Your old URLs need a new home, one by one.
---
1. Crawl the old store. Export every URL.
2. Add URLs with clicks, traffic and backlinks from GSC, GA4 and your link tool.
---
3. Map one-to-one. Product to product. Category to collection.
4. Build 301s in Shopify's URL Redirects (CSV import). No chains.
---
5. Carry over titles, metas, H1s, copy, alt text, structured data.
6-7. Crawl the old URL list after launch. Every URL should 301 to a 200 in one hop.
---
8-9. Submit the new sitemap. Watch Page indexing and 404s for 2–4 weeks.
Don't redirect everything to the homepage. #SEOMigration #ShopifySEO</t>
  </si>
  <si>
    <t xml:space="preserve">Moving from WooCommerce to Shopify: the redirect process that has worked for me</t>
  </si>
  <si>
    <t xml:space="preserve">I see a lot of posts here about traffic dropping after a move to Shopify, so here is the process I follow.
1. Crawl the old site and export every URL. Also pull URLs with clicks from Search Console and any URLs with backlinks, because some won't show up in a crawl.
2. Map each old URL to its closest new equivalent. Product to product, category to collection, blog post to blog post. Avoid sending everything to the homepage, as Google can treat that like a soft 404.
3. Build the 301s in Shopify's URL Redirects. The CSV import saves a lot of time.
4. Copy over titles, meta descriptions, product descriptions and image alt text. Launching with defaults is a common hidden loss.
5. After launch, run the old URL list through a crawler. Every one should redirect once and land on a 200 page.
6. Submit the new sitemap and check Page indexing and 404 reports every day for a few weeks.
For anyone who has migrated recently, what did you miss that you wish you had caught earlier?</t>
  </si>
  <si>
    <t xml:space="preserve">GSC Page indexing report: 8 statuses decoded for online stores</t>
  </si>
  <si>
    <t xml:space="preserve">'Not indexed' isn't always a problem. Here's how to read it.</t>
  </si>
  <si>
    <t xml:space="preserve">page indexing report search console</t>
  </si>
  <si>
    <t xml:space="preserve">crawled currently not indexed, discovered currently not indexed, duplicate without user-selected canonical, soft 404 ecommerce, alternate page with proper canonical tag</t>
  </si>
  <si>
    <t xml:space="preserve">"Not indexed" in Search Console isn't always a problem. Here's how to read it.
Store owners open the Page indexing report, see thousands of "not indexed" URLs, and panic.
Some of those are fine. Some are a real issue. The status tells you which.
Usually fine on a store:
→ Alternate page with proper canonical tag (variants and collection paths doing their job)
→ Page with redirect (old URLs you moved on purpose)
→ Excluded by 'noindex' tag (if you set it on purpose)
Worth investigating:
→ Crawled - currently not indexed (often thin or near-duplicate pages)
→ Discovered - currently not indexed (Google found it, hasn't crawled it yet)
→ Duplicate without user-selected canonical
→ Soft 404 (empty collections, out-of-stock pages with no content)
→ Not found (404) linked from your own site
The table in the image covers what each means, a common store cause, and the first action.
Start with the statuses that hit product and collection pages. Ignore the rest until those are clean.
Comment "INDEXREPORT" and I'll send you the GSC Page Indexing Diagnosis Sheet (Google Sheet).
#GoogleSearchConsole #TechnicalSEO #EcommerceSEO #Indexing</t>
  </si>
  <si>
    <t xml:space="preserve">#GoogleSearchConsole #TechnicalSEO #EcommerceSEO #Indexing</t>
  </si>
  <si>
    <t xml:space="preserve">"Not indexed" isn't always bad.
Thousands of excluded URLs can be normal on a store.
Usually fine:
→ Alternate page with proper canonical
→ Page with redirect
Investigate:
→ Crawled - currently not indexed
→ Soft 404
→ Duplicate without user-selected canonical
Save this for your next store audit. Share it with your developer.
Comment "INDEXREPORT" for the GSC Page Indexing Diagnosis Sheet (Google Sheet).
#googlesearchconsole #technicalseo #ecommerceseo #indexing #shopifyseo #woocommerceseo #seotips #onlinestore #seoexpert #googleindex #searchengineoptimization #permanentseo</t>
  </si>
  <si>
    <t xml:space="preserve">#googlesearchconsole #technicalseo #ecommerceseo #indexing #shopifyseo #woocommerceseo #seotips #onlinestore #seoexpert #googleindex #searchengineoptimization #permanentseo</t>
  </si>
  <si>
    <t xml:space="preserve">Single image, 1080x1350 (LinkedIn 1200x1500). Annotated table infographic in Search Console colours (white background, grey table, green/amber/red status dots).
HEADLINE: THE PAGE INDEXING REPORT, DECODED
SUB-HEADLINE: 8 statuses every online store sees, and what to do
TABLE (columns: Status | Usually means (on a store) | Action | Dot):
1. Alternate page with proper canonical tag | Variant or /collections/x/products/y path | None ✅ | green
2. Page with redirect | Old URLs you moved | Check no internal links point to them | green
3. Excluded by 'noindex' tag | Pages you hid (or a plugin did) | Confirm it's intentional | amber
4. Crawled - currently not indexed | Thin or near-duplicate pages | Improve, merge or remove | red
5. Discovered - currently not indexed | Found, not yet crawled | Improve internal links, check crawl waste | amber
6. Duplicate without user-selected canonical | Filter, tag or parameter URLs | Add canonicals, reduce duplicates | red
7. Soft 404 | Empty collections, bare out-of-stock pages | Add content, 404 or redirect | red
8. Not found (404) | Deleted products | Fine if unlinked, fix internal links | amber
BOTTOM TIP: 'Filter the report by sitemap to see only the URLs you want indexed.'
FOOTER BANNER: Comment "INDEXREPORT" for the diagnosis sheet |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</si>
  <si>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"'Not indexed' isn't always a problem. Here's how to read it."
SUBHEAD: "GSC Page indexing report: 8 statuses decoded for online stores"
MAIN VISUAL: the layout described below containing exactly: 
Single image, 1080x1350 (LinkedIn 1200x1500). Annotated table infographic in Search Console colours (white background, grey table, green/amber/red status dots).
HEADLINE: THE PAGE INDEXING REPORT, DECODED
SUB-HEADLINE: 8 statuses every online store sees, and what to do
TABLE (columns: Status | Usually means (on a store) | Action | Dot):
1. Alternate page with proper canonical tag | Variant or /collections/x/products/y path | None ✅ | green
2. Page with redirect | Old URLs you moved | Check no internal links point to them | green
3. Excluded by 'noindex' tag | Pages you hid (or a plugin did) | Confirm it's intentional | amber
4. Crawled - currently not indexed | Thin or near-duplicate pages | Improve, merge or remove | red
5. Discovered - currently not indexed | Found, not yet crawled | Improve internal links, check crawl waste | amber
6. Duplicate without user-selected canonical | Filter, tag or parameter URLs | Add canonicals, reduce duplicates | red
7. Soft 404 | Empty collections, bare out-of-stock pages | Add content, 404 or redirect | red
8. Not found (404) | Deleted products | Fine if unlinked, fix internal links | amber
BOTTOM TIP: 'Filter the report by sitemap to see only the URLs you want indexed.'
FOOTER BANNER: Comment "INDEXREPORT" for the diagnosis sheet | Muhammad Mehrooz Shafique · Permanent SEO
CTA BANNER (bottom, navy rounded box, white text, keyword in blue): Comment "INDEXREPORT" for GSC Page Indexing Diagnosis Sheet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</si>
  <si>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"'Not indexed' isn't always a problem. Here's how to read it."
BODY (numbered points / simple visual): the 3–5 key points from this brief, shortened to max 8 words each:
Single image, 1080x1350 (LinkedIn 1200x1500). Annotated table infographic in Search Console colours (white background, grey table, green/amber/red status dots).
HEADLINE: THE PAGE INDEXING REPORT, DECODED
SUB-HEADLINE: 8 statuses every online store sees, and what to do
TABLE (columns: Status | Usually means (on a store) | Action | Dot):
1. Alternate page with proper canonical tag | Variant or /collections/x/products/y path | None ✅ | green
2. Page with redirect | Old URLs you moved | Check no internal links point to them | green
3. Excluded by 'noindex' tag | Pages you hid (or a plugin did) | Confirm it's intentional | amber
4. Crawled - currently not indexed | Thin or near-duplicate pages | Improve, merge or remove | red
5. Discovered - currently not indexed | Found, not yet crawled | Improve internal links, check crawl waste | amber
6. Duplicate without user-selected canonical | Filter, tag or parameter URLs | Add canonicals, reduce duplicates | red
7. Soft 404 | Empty collections, bare out-of-stock pages | Add content, 404 or redirect | red
8. Not found (404) | Deleted products | Fine if unlinked, fix internal links | amber
BOTTOM TIP: 'Filter the report by sitemap to see only the URLs you want indexed.'
FOOTER BANNER: Comment "INDEXREPORT" for the diagnosis sheet | Muhammad Mehrooz Shafique · Permanent SEO
BOTTOM BAR: Comment "INDEXREPORT" for GSC Page Indexing Diagnosis Sheet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</si>
  <si>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INDEXREPORT</t>
  </si>
  <si>
    <t xml:space="preserve">GSC Page Indexing Diagnosis Sheet (Google Sheet)</t>
  </si>
  <si>
    <t xml:space="preserve">GSC Page indexing, for stores:
Usually fine: Alternate page with proper canonical, Page with redirect.
Investigate: Crawled - currently not indexed, Soft 404, Duplicate without user-selected canonical.
Tip: filter by sitemap first. #GoogleSearchConsole #TechnicalSEO</t>
  </si>
  <si>
    <t xml:space="preserve">Product image myth: compression alone doesn't fix LCP</t>
  </si>
  <si>
    <t xml:space="preserve">We don't just compress images. We fix the one that matters.</t>
  </si>
  <si>
    <t xml:space="preserve">product image optimization</t>
  </si>
  <si>
    <t xml:space="preserve">lcp image, lazy loading hero image, fetchpriority high, webp avif ecommerce, image srcset shopify</t>
  </si>
  <si>
    <t xml:space="preserve">We don't just compress images. We fix the one that matters.
On most product pages, the Largest Contentful Paint element is the main product image.
So Google's LCP target of 2.5 seconds or less often comes down to one file.
Common mistakes:
→ The hero image is lazy-loaded, so the browser waits to fetch it
→ A 3000px image is sent to a phone screen
→ No width and height set, so the layout jumps (hello, CLS)
→ Heavy PNGs where WebP or AVIF would do
What to do:
→ Never lazy-load the main image above the fold. Consider fetchpriority="high"
→ Use srcset so each screen gets the right size
→ Set width and height (or aspect-ratio) on every image
→ Lazy-load the images further down the page, not the first one
Shopify's image CDN can serve modern formats and sizes. Your theme still has to ask for them correctly.
Compression helps. Loading priority helps more.
Comment "HEROIMAGE" and I'll send you the Product Image Optimisation Checklist (PDF).
#CoreWebVitals #ImageSEO #EcommerceSEO #PageSpeed</t>
  </si>
  <si>
    <t xml:space="preserve">#CoreWebVitals #ImageSEO #EcommerceSEO #PageSpeed</t>
  </si>
  <si>
    <t xml:space="preserve">We don't just compress images.
Your main product image is usually your LCP.
→ Don't lazy-load it
→ Serve the right size (srcset)
→ Set width + height
→ Use WebP or AVIF
Lazy-load images below, not the hero.
Save this for your next store audit. Share it with your developer.
Comment "HEROIMAGE" for the Product Image Optimisation Checklist (PDF).
#corewebvitals #imageseo #pagespeed #ecommerceseo #shopifyseo #woocommerce #webp #technicalseo #productphotos #seotips #websitespeed #onlinestore #permanentseo</t>
  </si>
  <si>
    <t xml:space="preserve">#corewebvitals #imageseo #pagespeed #ecommerceseo #shopifyseo #woocommerce #webp #technicalseo #productphotos #seotips #websitespeed #onlinestore #permanentseo</t>
  </si>
  <si>
    <t xml:space="preserve">[0-2s] VO: We don't just compress images. | ON-SCREEN: WE DON'T JUST COMPRESS IMAGES. | VISUAL: Image file shrinking, then stop
[2-4s] VO: We fix the one that matters. | ON-SCREEN: WE FIX THE ONE THAT MATTERS. | VISUAL: Hero product image glows
[4-6s] VO: Most stores try this. | ON-SCREEN: MOST STORES TRY THIS: | VISUAL: Quick cut
[6-7s] VO: Plugins. | ON-SCREEN: PLUGINS. | VISUAL: Word drops
[7-8s] VO: Smaller files. | ON-SCREEN: SMALLER FILES. | VISUAL: Word drops
[8-9s] VO: Lazy-load everything. | ON-SCREEN: LAZY-LOAD EVERYTHING. | VISUAL: Word drops
[9-12s] VO: But your main product image needs three things. | ON-SCREEN: BUT YOUR HERO IMAGE NEEDS 3 THINGS. | VISUAL: Product page wireframe
[12-15s] VO: Load it first, not lazy. | ON-SCREEN: 1. NO LAZY-LOAD ABOVE THE FOLD | VISUAL: loading=lazy crossed out, fetchpriority=high
[15-18s] VO: Serve the right size for the screen. | ON-SCREEN: 2. RIGHT SIZE (srcset) | VISUAL: Phone vs desktop image sizes
[18-21s] VO: Set width and height. | ON-SCREEN: 3. WIDTH + HEIGHT SET | VISUAL: Box reserving space
[21-25s] VO: Lazy-load the hero, and your LCP waits. | ON-SCREEN: LAZY HERO = SLOW LCP | VISUAL: Timer passing 2.5s
[25-27s] VO: Shoppers wait too. | ON-SCREEN: SHOPPERS WAIT TOO. | VISUAL: Cursor tapping impatiently
[27-31s] VO: Speed starts with the image they came to see. | ON-SCREEN: SPEED STARTS WITH THE HERO IMAGE. | VISUAL: Logo + Comment HEROIMAGE</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</si>
  <si>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just compress images. | ON-SCREEN: WE DON'T JUST COMPRESS IMAGES. | VISUAL: Image file shrinking, then stop
[2-4s] VO: We fix the one that matters. | ON-SCREEN: WE FIX THE ONE THAT MATTERS. | VISUAL: Hero product image glows
[4-6s] VO: Most stores try this. | ON-SCREEN: MOST STORES TRY THIS: | VISUAL: Quick cut
[6-7s] VO: Plugins. | ON-SCREEN: PLUGINS. | VISUAL: Word drops
[7-8s] VO: Smaller files. | ON-SCREEN: SMALLER FILES. | VISUAL: Word drops
[8-9s] VO: Lazy-load everything. | ON-SCREEN: LAZY-LOAD EVERYTHING. | VISUAL: Word drops
[9-12s] VO: But your main product image needs three things. | ON-SCREEN: BUT YOUR HERO IMAGE NEEDS 3 THINGS. | VISUAL: Product page wireframe
[12-15s] VO: Load it first, not lazy. | ON-SCREEN: 1. NO LAZY-LOAD ABOVE THE FOLD | VISUAL: loading=lazy crossed out, fetchpriority=high
[15-18s] VO: Serve the right size for the screen. | ON-SCREEN: 2. RIGHT SIZE (srcset) | VISUAL: Phone vs desktop image sizes
[18-21s] VO: Set width and height. | ON-SCREEN: 3. WIDTH + HEIGHT SET | VISUAL: Box reserving space
[21-25s] VO: Lazy-load the hero, and your LCP waits. | ON-SCREEN: LAZY HERO = SLOW LCP | VISUAL: Timer passing 2.5s
[25-27s] VO: Shoppers wait too. | ON-SCREEN: SHOPPERS WAIT TOO. | VISUAL: Cursor tapping impatiently
[27-31s] VO: Speed starts with the image they came to see. | ON-SCREEN: SPEED STARTS WITH THE HERO IMAGE. | VISUAL: Logo + Comment HEROIMAGE
Final 3 s: dark/navy end card with Permanent SEO logo, 'SEO for E-commerce Brands' and 'Comment "HEROIMAGE"'. Burned-in captions. All text spelled exactly as written, sharp and legible on mobile; no extra words, no watermarks.</t>
  </si>
  <si>
    <t xml:space="preserve">HEROIMAGE</t>
  </si>
  <si>
    <t xml:space="preserve">Product Image Optimisation Checklist (PDF)</t>
  </si>
  <si>
    <t xml:space="preserve">Your main product image is usually the LCP element.
Don't lazy-load it. Serve the right size with srcset. Set width + height. Use WebP/AVIF.
Compression helps. Loading priority helps more. #CoreWebVitals #EcommerceSEO</t>
  </si>
  <si>
    <t xml:space="preserve">Product Image Optimization: Fix LCP on Product Pages</t>
  </si>
  <si>
    <t xml:space="preserve">Product image optimization for ecommerce: why compression alone won't fix LCP, and the three things your main product image needs. #Shorts</t>
  </si>
  <si>
    <t xml:space="preserve">product image optimization, lcp, core web vitals, image seo, lazy loading, webp, shopify speed, ecommerce seo, page speed, permanent seo</t>
  </si>
  <si>
    <t xml:space="preserve">Hreflang for multi-country stores: stop your sites competing</t>
  </si>
  <si>
    <t xml:space="preserve">Your UK and US stores are competing with each other.</t>
  </si>
  <si>
    <t xml:space="preserve">hreflang ecommerce</t>
  </si>
  <si>
    <t xml:space="preserve">shopify markets hreflang, hreflang x-default, international seo shopify, hreflang return links, woocommerce multilingual seo</t>
  </si>
  <si>
    <t xml:space="preserve">Your UK and US stores might be competing with each other.
Same products. Same copy. Different currency.
Without clear signals, Google sees near-identical pages and picks one to show. Often the wrong one for the searcher's country.
Hreflang fixes that, when it's set up correctly:
→ Choose a structure: subfolders (/en-gb/, /en-us/) or separate domains. Shopify Markets can create subfolders and add hreflang tags.
→ Every version lists all other versions and itself
→ Use correct codes: en-GB, not en-UK
→ Add x-default for visitors who don't match a version
→ Each page gets a self-referencing canonical. Canonicalising the US page to the UK page cancels the setup.
The usual failures I find: missing return links, wrong region codes, and canonicals that point across countries.
Then check performance by country in Search Console to see if the right pages are showing in each market.
Full 4-step walkthrough in the video.
Comment "HREFLANG" and I'll send you the Hreflang Setup Checklist for Multi-Country Stores (PDF).
#InternationalSEO #Hreflang #ShopifyMarkets #EcommerceSEO</t>
  </si>
  <si>
    <t xml:space="preserve">#InternationalSEO #Hreflang #ShopifyMarkets #EcommerceSEO</t>
  </si>
  <si>
    <t xml:space="preserve">Your UK and US stores are competing.
Same products, different currency. Google picks one.
Hreflang checklist:
→ Every version links to every other
→ en-GB, not en-UK
→ Add x-default
→ Self-canonical on each version
Canonical across countries = hreflang ignored.
Save this for your next store audit. Share it with your developer.
Comment "HREFLANG" for the Hreflang Setup Checklist for Multi-Country Stores (PDF).
#internationalseo #hreflang #shopifymarkets #ecommerceseo #shopifyseo #woocommerce #technicalseo #globalecommerce #seotips #multilingualseo #onlinestore #permanentseo</t>
  </si>
  <si>
    <t xml:space="preserve">#internationalseo #hreflang #shopifymarkets #ecommerceseo #shopifyseo #woocommerce #technicalseo #globalecommerce #seotips #multilingualseo #onlinestore #permanentseo</t>
  </si>
  <si>
    <t xml:space="preserve">Scene 1 [0-9s] VO: Hmm. UK store, US store, Australian store. Same products. So why is my US customer seeing pound prices from Google? | VISUAL: Founder looking at phone, Google result shows £ price to a US user
Scene 2 [9-21s] VO: Let's be honest. Your international stores aren't competing with rivals. They're competing with each other. Google sees near-identical pages and picks one. | VISUAL: Three flags, identical product pages overlapping
Scene 3 [21-33s] VO: So the wrong country version ranks. Shoppers land on the wrong currency, the wrong shipping, and they leave. | VISUAL: Bounce animation, cart abandoned
Scene 4 [33-38s] VO: It's time to tell Google which page is for whom. | VISUAL: Title card: HREFLANG, DONE RIGHT
Scene 5 [38-50s] VO: At Permanent SEO, we set up hreflang so each country and language version points to the others, clearly and both ways. | VISUAL: Three pages linked with arrows both directions
Scene 6 [50-64s] VO: Step one. We pick the structure: subfolders like /en-us/ and /en-gb/, or separate domains. Shopify Markets can create subfolders and add hreflang for you. | VISUAL: URL structure diagram
Scene 7 [64-78s] VO: Step two. Every version lists every other version, plus itself, with correct codes. en-GB, not en-UK. And an x-default for everyone else. | VISUAL: Code block with hreflang tags, 'en-UK' crossed out
Scene 8 [78-92s] VO: Step three. Each version has a self-referencing canonical. Never canonical the US page to the UK page, or hreflang gets ignored. | VISUAL: Canonical arrows, wrong one flashing red
Scene 9 [92-104s] VO: Step four. We crawl to confirm return links, then watch country performance in Search Console. [CLIENT RESULT: +X% clicks from US in Y months]. | VISUAL: Crawler report, GSC country filter
Scene 10 [104-114s] VO: Comment HREFLANG for the checklist. Or book a free e-commerce SEO audit with Permanent SEO. | VISUAL: End card
VERTICAL CUT (40s, IG Reels): Scenes 1, 2, 4, 7, 8, 10.</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</si>
  <si>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[0-9s] VO: Hmm. UK store, US store, Australian store. Same products. So why is my US customer seeing pound prices from Google? | VISUAL: Founder looking at phone, Google result shows £ price to a US user
Scene 2 [9-21s] VO: Let's be honest. Your international stores aren't competing with rivals. They're competing with each other. Google sees near-identical pages and picks one. | VISUAL: Three flags, identical product pages overlapping
Scene 3 [21-33s] VO: So the wrong country version ranks. Shoppers land on the wrong currency, the wrong shipping, and they leave. | VISUAL: Bounce animation, cart abandoned
Scene 4 [33-38s] VO: It's time to tell Google which page is for whom. | VISUAL: Title card: HREFLANG, DONE RIGHT
Scene 5 [38-50s] VO: At Permanent SEO, we set up hreflang so each country and language version points to the others, clearly and both ways. | VISUAL: Three pages linked with arrows both directions
Scene 6 [50-64s] VO: Step one. We pick the structure: subfolders like /en-us/ and /en-gb/, or separate domains. Shopify Markets can create subfolders and add hreflang for you. | VISUAL: URL structure diagram
Scene 7 [64-78s] VO: Step two. Every version lists every other version, plus itself, with correct codes. en-GB, not en-UK. And an x-default for everyone else. | VISUAL: Code block with hreflang tags, 'en-UK' crossed out
Scene 8 [78-92s] VO: Step three. Each version has a self-referencing canonical. Never canonical the US page to the UK page, or hreflang gets ignored. | VISUAL: Canonical arrows, wrong one flashing red
Scene 9 [92-104s] VO: Step four. We crawl to confirm return links, then watch country performance in Search Console. [CLIENT RESULT: +X% clicks from US in Y months]. | VISUAL: Crawler report, GSC country filter
Scene 10 [104-114s] VO: Comment HREFLANG for the checklist. Or book a free e-commerce SEO audit with Permanent SEO. | VISUAL: End card
VERTICAL CUT (40s, IG Reels): Scenes 1, 2, 4, 7, 8, 10.
End card: Permanent SEO logo + 'Comment "HREFLANG"'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</si>
  <si>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[0-9s] VO: Hmm. UK store, US store, Australian store. Same products. So why is my US customer seeing pound prices from Google? | VISUAL: Founder looking at phone, Google result shows £ price to a US user
Scene 2 [9-21s] VO: Let's be honest. Your international stores aren't competing with rivals. They're competing with each other. Google sees near-identical pages and picks one. | VISUAL: Three flags, identical product pages overlapping
Scene 3 [21-33s] VO: So the wrong country version ranks. Shoppers land on the wrong currency, the wrong shipping, and they leave. | VISUAL: Bounce animation, cart abandoned
Scene 4 [33-38s] VO: It's time to tell Google which page is for whom. | VISUAL: Title card: HREFLANG, DONE RIGHT
Scene 5 [38-50s] VO: At Permanent SEO, we set up hreflang so each country and language version points to the others, clearly and both ways. | VISUAL: Three pages linked with arrows both directions
Scene 6 [50-64s] VO: Step one. We pick the structure: subfolders like /en-us/ and /en-gb/, or separate domains. Shopify Markets can create subfolders and add hreflang for you. | VISUAL: URL structure diagram
Scene 7 [64-78s] VO: Step two. Every version lists every other version, plus itself, with correct codes. en-GB, not en-UK. And an x-default for everyone else. | VISUAL: Code block with hreflang tags, 'en-UK' crossed out
Scene 8 [78-92s] VO: Step three. Each version has a self-referencing canonical. Never canonical the US page to the UK page, or hreflang gets ignored. | VISUAL: Canonical arrows, wrong one flashing red
Scene 9 [92-104s] VO: Step four. We crawl to confirm return links, then watch country performance in Search Console. [CLIENT RESULT: +X% clicks from US in Y months]. | VISUAL: Crawler report, GSC country filter
Scene 10 [104-114s] VO: Comment HREFLANG for the checklist. Or book a free e-commerce SEO audit with Permanent SEO. | VISUAL: End card
VERTICAL CUT (40s, IG Reels): Scenes 1, 2, 4, 7, 8, 10.
Final 3 s: dark/navy end card with Permanent SEO logo, 'SEO for E-commerce Brands' and 'Comment "HREFLANG"'. Burned-in captions. All text spelled exactly as written, sharp and legible on mobile; no extra words, no watermarks.</t>
  </si>
  <si>
    <t xml:space="preserve">HREFLANG</t>
  </si>
  <si>
    <t xml:space="preserve">Hreflang Setup Checklist for Multi-Country Stores (PDF)</t>
  </si>
  <si>
    <t xml:space="preserve">Multi-country store? Hreflang checks:
→ Every version lists all others + itself
→ en-GB, not en-UK
→ x-default set
→ Self-canonical on each page
A canonical pointing to another country cancels the setup. #InternationalSEO #EcommerceSEO</t>
  </si>
  <si>
    <t xml:space="preserve">Hreflang for Ecommerce: Set Up Multi-Country Stores Right</t>
  </si>
  <si>
    <t xml:space="preserve">Hreflang for ecommerce stores selling in multiple countries: how to stop your UK, US and other store versions competing in Google. Covers Shopify Markets, x-default, return links and canonicals, explained by Muhammad Mehrooz Shafique of Permanent SEO.</t>
  </si>
  <si>
    <t xml:space="preserve">hreflang, hreflang ecommerce, shopify markets, international seo, x-default, multilingual seo, technical seo, shopify seo, ecommerce seo, permanent seo</t>
  </si>
  <si>
    <t xml:space="preserve">Case study: handling discontinued products without losing traffic</t>
  </si>
  <si>
    <t xml:space="preserve">[X] discontinued products. All redirected to the homepage. Here's the fix.</t>
  </si>
  <si>
    <t xml:space="preserve">discontinued products seo</t>
  </si>
  <si>
    <t xml:space="preserve">out of stock products seo, 301 vs 404 ecommerce, soft 404 redirects, expired products shopify, product redirect strategy</t>
  </si>
  <si>
    <t xml:space="preserve">[X] discontinued products. All redirected to the homepage.
[Client: US home goods store, Shopify]
What we found:
Every discontinued product was 301'd to the homepage. Search Console showed many as soft 404s. Google can treat redirects to an unrelated page that way.
What we did instead, product by product:
→ Temporarily out of stock: kept live, marked out of stock in Product schema, added "notify me" and related products
→ Replaced by a newer model: 301 to the new product
→ Gone, but category still sold: 301 to the closest collection
→ Gone, nothing similar, no links or traffic: let it 404 (or 410)
→ Removed internal links and sitemap entries for anything retired
The result:
[CLIENT RESULT: X soft 404s resolved]
[CLIENT RESULT: +X% organic revenue from replacement products in Y months]
The rule: redirect only when there's a genuinely close match. A 404 for a dead product is normal.
I turned the decision into a one-page flowchart.
Comment "DISCONTINUED" and I'll send you the Discontinued Product Decision Flowchart (PDF).
#EcommerceSEO #TechnicalSEO #Redirects #CaseStudy</t>
  </si>
  <si>
    <t xml:space="preserve">#EcommerceSEO #TechnicalSEO #Redirects #CaseStudy</t>
  </si>
  <si>
    <t xml:space="preserve">All discontinued products → homepage? Stop.
→ Out of stock for now: keep live
→ New model: 301 to it
→ Category still sold: 301 to collection
→ Nothing similar: 404 is fine
Result: [CLIENT RESULT: X soft 404s resolved]
Save this for your next store audit. Share it with your developer.
Comment "DISCONTINUED" for the Discontinued Product Decision Flowchart (PDF).
#ecommerceseo #technicalseo #redirects #seocasestudy #shopifyseo #woocommerce #outofstock #productpages #seotips #onlinestore #seoexpert #searchengineoptimization #permanentseo</t>
  </si>
  <si>
    <t xml:space="preserve">#ecommerceseo #technicalseo #redirects #seocasestudy #shopifyseo #woocommerce #outofstock #productpages #seotips #onlinestore #seoexpert #searchengineoptimization #permanentseo</t>
  </si>
  <si>
    <t xml:space="preserve">Single image, 1080x1350. Case study + flowchart. White background, navy, lime and red.
TOP TAG: CASE STUDY · [Client: US home goods store]
HEADLINE: STOP REDIRECTING DEAD PRODUCTS TO THE HOMEPAGE
FLOWCHART (top to bottom):
Start box: 'Product no longer sold?'
→ 'Back in stock soon?' YES → 'Keep live. Mark out of stock. Add related products.'
→ NO → 'Direct replacement exists?' YES → '301 to new product'
→ NO → 'Similar category still sold?' YES → '301 to closest collection'
→ NO → '404 / 410. Remove internal links + sitemap entry.'
RIGHT SIDE RESULT TILES: '[X] soft 404s resolved' · '[+X%] revenue from replacement products' · '[Y] months'
FOOTER BANNER: Comment "DISCONTINUED" for the flowchart |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</si>
  <si>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"[X] discontinued products. All redirected to the homepage. Here's the fix."
SUBHEAD: "Case study: handling discontinued products without losing traffic"
MAIN VISUAL: the layout described below containing exactly: 
Single image, 1080x1350. Case study + flowchart. White background, navy, lime and red.
TOP TAG: CASE STUDY · [Client: US home goods store]
HEADLINE: STOP REDIRECTING DEAD PRODUCTS TO THE HOMEPAGE
FLOWCHART (top to bottom):
Start box: 'Product no longer sold?'
→ 'Back in stock soon?' YES → 'Keep live. Mark out of stock. Add related products.'
→ NO → 'Direct replacement exists?' YES → '301 to new product'
→ NO → 'Similar category still sold?' YES → '301 to closest collection'
→ NO → '404 / 410. Remove internal links + sitemap entry.'
RIGHT SIDE RESULT TILES: '[X] soft 404s resolved' · '[+X%] revenue from replacement products' · '[Y] months'
FOOTER BANNER: Comment "DISCONTINUED" for the flowchart | Muhammad Mehrooz Shafique · Permanent SEO
CTA BANNER (bottom, navy rounded box, white text, keyword in blue): Comment "DISCONTINUED" for Discontinued Product Decision Flowchart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</si>
  <si>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"[X] discontinued products. All redirected to the homepage. Here's the fix."
BODY (numbered points / simple visual): the 3–5 key points from this brief, shortened to max 8 words each:
Single image, 1080x1350. Case study + flowchart. White background, navy, lime and red.
TOP TAG: CASE STUDY · [Client: US home goods store]
HEADLINE: STOP REDIRECTING DEAD PRODUCTS TO THE HOMEPAGE
FLOWCHART (top to bottom):
Start box: 'Product no longer sold?'
→ 'Back in stock soon?' YES → 'Keep live. Mark out of stock. Add related products.'
→ NO → 'Direct replacement exists?' YES → '301 to new product'
→ NO → 'Similar category still sold?' YES → '301 to closest collection'
→ NO → '404 / 410. Remove internal links + sitemap entry.'
RIGHT SIDE RESULT TILES: '[X] soft 404s resolved' · '[+X%] revenue from replacement products' · '[Y] months'
FOOTER BANNER: Comment "DISCONTINUED" for the flowchart | Muhammad Mehrooz Shafique · Permanent SEO
BOTTOM BAR: Comment "DISCONTINUED" for Discontinued Product Decision Flowchart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</si>
  <si>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DISCONTINUED</t>
  </si>
  <si>
    <t xml:space="preserve">Discontinued Product Decision Flowchart (PDF)</t>
  </si>
  <si>
    <t xml:space="preserve">Discontinued product rules:
Back soon → keep live, mark out of stock
New model → 301 to it
Category still sold → 301 to collection
Nothing similar → 404 is fine
All to the homepage often ends up as soft 404s. #EcommerceSEO #TechnicalSEO</t>
  </si>
  <si>
    <t xml:space="preserve">Log file analysis basics: see what Googlebot crawls on your store</t>
  </si>
  <si>
    <t xml:space="preserve">See what Googlebot actually crawls on your store</t>
  </si>
  <si>
    <t xml:space="preserve">log file analysis seo</t>
  </si>
  <si>
    <t xml:space="preserve">googlebot crawl logs, server log analysis ecommerce, crawl stats report, verify googlebot reverse dns, crawl waste analysis</t>
  </si>
  <si>
    <t xml:space="preserve">Want to know what Googlebot really does on your store? Check the logs.
Crawlers and audits show what Google could crawl. Server logs show what it actually crawled.
Every request to your server is recorded: URL, time, status code, user agent. That includes Googlebot.
The basic process:
→ Get access logs from your host or CDN (WooCommerce). On Shopify you won't get raw logs, so use the Crawl Stats report in Search Console instead.
→ Filter to Googlebot and verify it with reverse DNS
→ Group URLs by type: products, collections, filters, search, redirects, 404s
→ Look for waste: lots of hits on orderby, filter, or internal search URLs
→ Look for neglect: key collections with few or no hits
→ Check for redirect chains, 404s and 5xx errors Googlebot keeps hitting
→ Fix, wait a month, compare
You don't need an enterprise tool to start. A spreadsheet and a month of logs is enough to find the biggest leaks.
Comment "LOGFILES" and I'll send you the Log File Analysis Starter Kit for Stores (Google Sheet + filter list).
#TechnicalSEO #LogFileAnalysis #EcommerceSEO #Googlebot</t>
  </si>
  <si>
    <t xml:space="preserve">#TechnicalSEO #LogFileAnalysis #EcommerceSEO #Googlebot</t>
  </si>
  <si>
    <t xml:space="preserve">What does Googlebot actually crawl on your store?
Logs tell you.
→ Filter to Googlebot (verify it)
→ Group URLs by type
→ Find waste: filters, sort, search
→ Find neglected products
On Shopify? Use GSC Crawl Stats.
Save this for your next store audit. Share it with your developer.
Comment "LOGFILES" for the Log File Analysis Starter Kit for Stores (Google Sheet + filter list).
#technicalseo #logfileanalysis #googlebot #ecommerceseo #woocommerceseo #shopifyseo #crawlbudget #seotips #seoexpert #seotools #searchengineoptimization #permanentseo</t>
  </si>
  <si>
    <t xml:space="preserve">#technicalseo #logfileanalysis #googlebot #ecommerceseo #woocommerceseo #shopifyseo #crawlbudget #seotips #seoexpert #seotools #searchengineoptimization #permanentseo</t>
  </si>
  <si>
    <t xml:space="preserve">Slide 1: Log file analysis for online stores, explained simply | See what Googlebot actually crawls. Not what you hope it crawls.
Slide 2: What a log file is | Your server records every request: URL, time, status code, user agent. Including Googlebot's.
Slide 3: Where to get the data | WooCommerce: access logs from your host or CDN. Shopify: no raw logs, so use GSC Crawl Stats instead.
Slide 4: Step 1: Filter to Googlebot | Filter by user agent, then verify with reverse DNS. Fake Googlebots are common.
Slide 5: Step 2: Group URLs by type | Products, collections, filters, parameters, search pages, assets, redirects, 404s.
Slide 6: Step 3: Find crawl waste | High share of hits on ?orderby=, ?filter_, /?s= or tag pages = Google's time spent on URLs you don't want ranked.
Slide 7: Step 4: Find neglected pages | Key products and collections with few or no Googlebot hits. Usually weak internal links.
Slide 8: Step 5: Check status codes | Googlebot hitting 301 chains, 404s or 5xx errors. Fix the links causing them.
Slide 9: Step 6: Act, then compare | Fix links, robots rules or canonicals. Compare the next month's logs to see if crawling shifted.
Slide 10: Get the starter kit | Comment LOGFILES for the sheet and URL filter list. Follow Muhammad Mehrooz Shafique for more.
INSTAGRAM VERSION (8 slides): merge slides 2+3 and slides 8+9.</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</si>
  <si>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Log file analysis for online stores, explained simply | See what Googlebot actually crawls. Not what you hope it crawls.
Slide 2: What a log file is | Your server records every request: URL, time, status code, user agent. Including Googlebot's.
Slide 3: Where to get the data | WooCommerce: access logs from your host or CDN. Shopify: no raw logs, so use GSC Crawl Stats instead.
Slide 4: Step 1: Filter to Googlebot | Filter by user agent, then verify with reverse DNS. Fake Googlebots are common.
Slide 5: Step 2: Group URLs by type | Products, collections, filters, parameters, search pages, assets, redirects, 404s.
Slide 6: Step 3: Find crawl waste | High share of hits on ?orderby=, ?filter_, /?s= or tag pages = Google's time spent on URLs you don't want ranked.
Slide 7: Step 4: Find neglected pages | Key products and collections with few or no Googlebot hits. Usually weak internal links.
Slide 8: Step 5: Check status codes | Googlebot hitting 301 chains, 404s or 5xx errors. Fix the links causing them.
Slide 9: Step 6: Act, then compare | Fix links, robots rules or canonicals. Compare the next month's logs to see if crawling shifted.
Slide 10: Get the starter kit | Comment LOGFILES for the sheet and URL filter list. Follow Muhammad Mehrooz Shafique for more.
INSTAGRAM VERSION (8 slides): merge slides 2+3 and slides 8+9.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</si>
  <si>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Log file analysis for online stores, explained simply | See what Googlebot actually crawls. Not what you hope it crawls.
Slide 2: What a log file is | Your server records every request: URL, time, status code, user agent. Including Googlebot's.
Slide 3: Where to get the data | WooCommerce: access logs from your host or CDN. Shopify: no raw logs, so use GSC Crawl Stats instead.
Slide 4: Step 1: Filter to Googlebot | Filter by user agent, then verify with reverse DNS. Fake Googlebots are common.
Slide 5: Step 2: Group URLs by type | Products, collections, filters, parameters, search pages, assets, redirects, 404s.
Slide 6: Step 3: Find crawl waste | High share of hits on ?orderby=, ?filter_, /?s= or tag pages = Google's time spent on URLs you don't want ranked.
Slide 7: Step 4: Find neglected pages | Key products and collections with few or no Googlebot hits. Usually weak internal links.
Slide 8: Step 5: Check status codes | Googlebot hitting 301 chains, 404s or 5xx errors. Fix the links causing them.
Slide 9: Step 6: Act, then compare | Fix links, robots rules or canonicals. Compare the next month's logs to see if crawling shifted.
Slide 10: Get the starter kit | Comment LOGFILES for the sheet and URL filter list. Follow Muhammad Mehrooz Shafique for more.
INSTAGRAM VERSION (8 slides): merge slides 2+3 and slides 8+9.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</si>
  <si>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LOGFILES</t>
  </si>
  <si>
    <t xml:space="preserve">Log File Analysis Starter Kit for Stores (Google Sheet + filter list)</t>
  </si>
  <si>
    <t xml:space="preserve">Log file analysis for online stores, simply (thread)
Audits show what Google could crawl. Logs show what it did crawl.
---
Where to get data:
WooCommerce → access logs from your host or CDN.
Shopify → no raw logs. Use GSC Crawl Stats.
---
Step 1: filter to Googlebot. Verify with reverse DNS. Fake bots are common.
Step 2: group URLs by type: products, collections, filters, search, redirects, 404s.
---
Step 3: find waste (orderby, filter, internal search URLs).
Step 4: find key pages with few or no hits.
Step 5: check 3xx chains, 404s, 5xx.
---
Step 6: fix links, robots rules or canonicals. Compare next month's logs.
A spreadsheet is enough to start. #TechnicalSEO #EcommerceSEO</t>
  </si>
  <si>
    <t xml:space="preserve">r/bigseo</t>
  </si>
  <si>
    <t xml:space="preserve">A simple log file analysis process for e-commerce sites (no enterprise tool needed)</t>
  </si>
  <si>
    <t xml:space="preserve">Log analysis gets treated as an advanced topic, but for online stores a basic version finds a lot.
My starting process:
1. Get a month of access logs from the host or CDN. On Shopify you can't get raw logs, so the Crawl Stats report in Search Console is the closest option.
2. Filter to Googlebot by user agent, then verify a sample with reverse DNS. A surprising share of 'Googlebot' traffic is often fake.
3. Classify URLs: products, categories, filter and sort parameters, internal search, tag archives, redirects, 404s, assets.
4. Compare hit share against what you actually want ranked. Heavy crawling of orderby or filter parameters is the classic finding on WooCommerce.
5. List important pages with very few hits. These usually have weak internal links.
6. Check status codes Googlebot keeps receiving, especially redirect chains and 5xx.
7. Make changes, then compare the next month.
What is your go-to setup for log analysis on mid-size stores, and what was the most useful thing it revealed?</t>
  </si>
  <si>
    <t xml:space="preserve">Shopify vs WooCommerce: technical SEO control, side by side</t>
  </si>
  <si>
    <t xml:space="preserve">Shopify vs WooCommerce: who controls your technical SEO?</t>
  </si>
  <si>
    <t xml:space="preserve">shopify vs woocommerce seo</t>
  </si>
  <si>
    <t xml:space="preserve">shopify technical seo limitations, woocommerce seo control, ecommerce platform seo comparison, shopify url structure, woocommerce permalinks</t>
  </si>
  <si>
    <t xml:space="preserve">Shopify vs WooCommerce: who actually controls your technical SEO?
Neither platform is "better for SEO" by default. They give you different controls and different risks.
Shopify:
→ Fixed URL paths (/products/, /collections/, /pages/)
→ Sitemaps generated automatically
→ robots.txt editable through robots.txt.liquid
→ Hosting, CDN and SSL handled for you
→ Main risks: app bloat, duplicate collection paths, limited URL control
WooCommerce:
→ Full permalink control
→ Sitemaps and meta control through an SEO plugin
→ Full robots.txt and server access
→ Speed depends on your host, theme and plugins
→ Main risks: plugin conflicts, parameter URLs, slow hosting, updates breaking things
The table in the image compares 8 areas side by side.
Takeaway: Shopify limits what you can break. WooCommerce lets you fix more, and break more. Pick the platform your team can actually maintain.
Comment "SHOPVSWOO" and I'll send you the Shopify vs WooCommerce Technical SEO Comparison Sheet (PDF).
#ShopifySEO #WooCommerce #TechnicalSEO #EcommerceSEO</t>
  </si>
  <si>
    <t xml:space="preserve">#ShopifySEO #WooCommerce #TechnicalSEO #EcommerceSEO</t>
  </si>
  <si>
    <t xml:space="preserve">Shopify vs WooCommerce: technical SEO.
Shopify:
→ Fixed URLs, auto sitemaps, hosting handled
→ Risk: app bloat, duplicate paths
WooCommerce:
→ Full control of URLs and server
→ Risk: plugins, hosting, parameters
Shopify limits what you can break. Woo lets you fix more.
Save this for your next store audit. Share it with your developer.
Comment "SHOPVSWOO" for the Shopify vs WooCommerce Technical SEO Comparison Sheet (PDF).
#shopifyseo #woocommerceseo #shopify #woocommerce #technicalseo #ecommerceseo #ecommerceplatform #wordpressseo #seotips #onlinestore #storeowner #permanentseo</t>
  </si>
  <si>
    <t xml:space="preserve">#shopifyseo #woocommerceseo #shopify #woocommerce #technicalseo #ecommerceseo #ecommerceplatform #wordpressseo #seotips #onlinestore #storeowner #permanentseo</t>
  </si>
  <si>
    <t xml:space="preserve">Single image, 1080x1350. Side-by-side comparison table. Left column green (Shopify), right column purple (WooCommerce), neutral grey labels in middle.
HEADLINE: SHOPIFY VS WOOCOMMERCE
SUB-HEADLINE: Who controls your technical SEO?
TABLE ROWS (Area | Shopify | WooCommerce):
1. URL structure | Fixed /products/ /collections/ | Full permalink control
2. XML sitemap | Auto-generated | Via SEO plugin
3. robots.txt | Editable via robots.txt.liquid | Fully editable
4. Hosting + CDN | Included | Your host's job
5. Canonical tags | Added by default (theme-dependent) | Via theme + SEO plugin
6. Speed risk | App scripts | Plugins + hosting
7. Duplicate risk | /collections/x/products/y paths | Parameter + attribute URLs
8. Server logs | Not available (use GSC Crawl Stats) | Available from host
BOTTOM QUOTE BAR: 'Shopify limits what you can break. WooCommerce lets you fix more, and break more.'
FOOTER BANNER: Comment "SHOPVSWOO" for the full sheet |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</si>
  <si>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"Shopify vs WooCommerce: who controls your technical SEO?"
SUBHEAD: "Shopify vs WooCommerce: technical SEO control, side by side"
MAIN VISUAL: the layout described below containing exactly: 
Single image, 1080x1350. Side-by-side comparison table. Left column green (Shopify), right column purple (WooCommerce), neutral grey labels in middle.
HEADLINE: SHOPIFY VS WOOCOMMERCE
SUB-HEADLINE: Who controls your technical SEO?
TABLE ROWS (Area | Shopify | WooCommerce):
1. URL structure | Fixed /products/ /collections/ | Full permalink control
2. XML sitemap | Auto-generated | Via SEO plugin
3. robots.txt | Editable via robots.txt.liquid | Fully editable
4. Hosting + CDN | Included | Your host's job
5. Canonical tags | Added by default (theme-dependent) | Via theme + SEO plugin
6. Speed risk | App scripts | Plugins + hosting
7. Duplicate risk | /collections/x/products/y paths | Parameter + attribute URLs
8. Server logs | Not available (use GSC Crawl Stats) | Available from host
BOTTOM QUOTE BAR: 'Shopify limits what you can break. WooCommerce lets you fix more, and break more.'
FOOTER BANNER: Comment "SHOPVSWOO" for the full sheet | Muhammad Mehrooz Shafique · Permanent SEO
CTA BANNER (bottom, navy rounded box, white text, keyword in blue): Comment "SHOPVSWOO" for Shopify vs WooCommerce Technical SEO Comparison Sheet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</si>
  <si>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"Shopify vs WooCommerce: who controls your technical SEO?"
BODY (numbered points / simple visual): the 3–5 key points from this brief, shortened to max 8 words each:
Single image, 1080x1350. Side-by-side comparison table. Left column green (Shopify), right column purple (WooCommerce), neutral grey labels in middle.
HEADLINE: SHOPIFY VS WOOCOMMERCE
SUB-HEADLINE: Who controls your technical SEO?
TABLE ROWS (Area | Shopify | WooCommerce):
1. URL structure | Fixed /products/ /collections/ | Full permalink control
2. XML sitemap | Auto-generated | Via SEO plugin
3. robots.txt | Editable via robots.txt.liquid | Fully editable
4. Hosting + CDN | Included | Your host's job
5. Canonical tags | Added by default (theme-dependent) | Via theme + SEO plugin
6. Speed risk | App scripts | Plugins + hosting
7. Duplicate risk | /collections/x/products/y paths | Parameter + attribute URLs
8. Server logs | Not available (use GSC Crawl Stats) | Available from host
BOTTOM QUOTE BAR: 'Shopify limits what you can break. WooCommerce lets you fix more, and break more.'
FOOTER BANNER: Comment "SHOPVSWOO" for the full sheet | Muhammad Mehrooz Shafique · Permanent SEO
BOTTOM BAR: Comment "SHOPVSWOO" for Shopify vs WooCommerce Technical SEO Comparison Sheet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</si>
  <si>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SHOPVSWOO</t>
  </si>
  <si>
    <t xml:space="preserve">Shopify vs WooCommerce Technical SEO Comparison Sheet (PDF)</t>
  </si>
  <si>
    <t xml:space="preserve">Shopify vs WooCommerce, technical SEO:
Shopify: fixed URLs, auto sitemaps, hosting handled. Risk: apps, duplicate paths.
Woo: full control. Risk: plugins, hosting, parameters.
Shopify limits what you can break. Woo lets you fix more. #ShopifySEO #WooCommerce</t>
  </si>
  <si>
    <t xml:space="preserve">Noindex trap: why blocking in robots.txt keeps pages indexed</t>
  </si>
  <si>
    <t xml:space="preserve">We don't block pages to remove them from Google.</t>
  </si>
  <si>
    <t xml:space="preserve">noindex vs robots.txt</t>
  </si>
  <si>
    <t xml:space="preserve">noindex blocked by robots.txt, indexed though blocked by robots.txt, remove pages from google, meta robots noindex, deindex ecommerce pages</t>
  </si>
  <si>
    <t xml:space="preserve">We don't block pages in robots.txt to remove them from Google.
This one catches a lot of stores.
You want filter pages, tag pages or old test products out of Google. So you add a Disallow rule and a noindex tag.
The problem: if robots.txt blocks the page, Googlebot can't crawl it. If it can't crawl it, it never sees the noindex tag.
The URL can stay indexed. Search Console might even show "Indexed, though blocked by robots.txt".
The right order:
→ Allow crawling
→ Add noindex (meta robots tag or X-Robots-Tag header)
→ Wait for Google to recrawl and drop it
→ Only then, if you want, block crawling to save crawl budget
For urgent cases, the Removals tool in Search Console hides a URL temporarily. It doesn't replace noindex.
Robots.txt controls crawling. Noindex controls indexing. Different jobs.
Comment "NOINDEXTRAP" and I'll send you the Noindex vs Robots.txt Decision Guide (PDF).
#TechnicalSEO #Noindex #RobotsTxt #EcommerceSEO</t>
  </si>
  <si>
    <t xml:space="preserve">#TechnicalSEO #Noindex #RobotsTxt #EcommerceSEO</t>
  </si>
  <si>
    <t xml:space="preserve">Blocking a page doesn't remove it from Google.
If robots.txt blocks it, Google can't see your noindex.
Right order:
→ Allow crawl
→ Add noindex
→ Wait for recrawl
→ Then block, if needed
Crawling and indexing are different jobs.
Save this for your next store audit. Share it with your developer.
Comment "NOINDEXTRAP" for the Noindex vs Robots.txt Decision Guide (PDF).
#technicalseo #noindex #robotstxt #ecommerceseo #shopifyseo #woocommerceseo #seomyths #seotips #indexing #onlinestore #seoexpert #searchengineoptimization #permanentseo</t>
  </si>
  <si>
    <t xml:space="preserve">#technicalseo #noindex #robotstxt #ecommerceseo #shopifyseo #woocommerceseo #seomyths #seotips #indexing #onlinestore #seoexpert #searchengineoptimization #permanentseo</t>
  </si>
  <si>
    <t xml:space="preserve">[0-2s] VO: We don't block pages to remove them. | ON-SCREEN: WE DON'T BLOCK PAGES TO REMOVE THEM. | VISUAL: Padlock on a URL, then crossed out
[2-4s] VO: We let Google see the noindex. | ON-SCREEN: WE LET GOOGLE SEE THE NOINDEX. | VISUAL: Meta robots tag highlighted
[4-6s] VO: Most stores do this. | ON-SCREEN: MOST STORES DO THIS: | VISUAL: Quick cut
[6-7s] VO: Disallow. | ON-SCREEN: DISALLOW. | VISUAL: Word stamps
[7-8s] VO: Noindex. | ON-SCREEN: NOINDEX. | VISUAL: Word stamps
[8-9s] VO: Both at once. | ON-SCREEN: BOTH AT ONCE. | VISUAL: Words collide
[9-12s] VO: But removal needs three things in order. | ON-SCREEN: BUT REMOVAL NEEDS 3 THINGS. | VISUAL: Three steps appear
[12-15s] VO: Google must be allowed to crawl it. | ON-SCREEN: 1. ALLOW THE CRAWL | VISUAL: robots.txt line deleted
[15-18s] VO: The page must say noindex. | ON-SCREEN: 2. NOINDEX ON THE PAGE | VISUAL: &lt;meta name=robots content=noindex&gt;
[18-21s] VO: Then you wait for the recrawl. | ON-SCREEN: 3. WAIT FOR THE RECRAWL | VISUAL: Calendar flips
[21-25s] VO: Block it first, and Google never sees the tag. | ON-SCREEN: BLOCK FIRST → TAG NEVER SEEN | VISUAL: Googlebot bouncing off a wall
[25-27s] VO: The URL stays in the index. | ON-SCREEN: THE URL STAYS. | VISUAL: URL still in search result
[27-31s] VO: Robots.txt controls crawling. Noindex controls indexing. | ON-SCREEN: CRAWLING ≠ INDEXING. | VISUAL: Logo + Comment NOINDEXTRAP</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</si>
  <si>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block pages to remove them. | ON-SCREEN: WE DON'T BLOCK PAGES TO REMOVE THEM. | VISUAL: Padlock on a URL, then crossed out
[2-4s] VO: We let Google see the noindex. | ON-SCREEN: WE LET GOOGLE SEE THE NOINDEX. | VISUAL: Meta robots tag highlighted
[4-6s] VO: Most stores do this. | ON-SCREEN: MOST STORES DO THIS: | VISUAL: Quick cut
[6-7s] VO: Disallow. | ON-SCREEN: DISALLOW. | VISUAL: Word stamps
[7-8s] VO: Noindex. | ON-SCREEN: NOINDEX. | VISUAL: Word stamps
[8-9s] VO: Both at once. | ON-SCREEN: BOTH AT ONCE. | VISUAL: Words collide
[9-12s] VO: But removal needs three things in order. | ON-SCREEN: BUT REMOVAL NEEDS 3 THINGS. | VISUAL: Three steps appear
[12-15s] VO: Google must be allowed to crawl it. | ON-SCREEN: 1. ALLOW THE CRAWL | VISUAL: robots.txt line deleted
[15-18s] VO: The page must say noindex. | ON-SCREEN: 2. NOINDEX ON THE PAGE | VISUAL: &lt;meta name=robots content=noindex&gt;
[18-21s] VO: Then you wait for the recrawl. | ON-SCREEN: 3. WAIT FOR THE RECRAWL | VISUAL: Calendar flips
[21-25s] VO: Block it first, and Google never sees the tag. | ON-SCREEN: BLOCK FIRST → TAG NEVER SEEN | VISUAL: Googlebot bouncing off a wall
[25-27s] VO: The URL stays in the index. | ON-SCREEN: THE URL STAYS. | VISUAL: URL still in search result
[27-31s] VO: Robots.txt controls crawling. Noindex controls indexing. | ON-SCREEN: CRAWLING ≠ INDEXING. | VISUAL: Logo + Comment NOINDEXTRAP
Final 3 s: dark/navy end card with Permanent SEO logo, 'SEO for E-commerce Brands' and 'Comment "NOINDEXTRAP"'. Burned-in captions. All text spelled exactly as written, sharp and legible on mobile; no extra words, no watermarks.</t>
  </si>
  <si>
    <t xml:space="preserve">NOINDEXTRAP</t>
  </si>
  <si>
    <t xml:space="preserve">Noindex vs Robots.txt Decision Guide (PDF)</t>
  </si>
  <si>
    <t xml:space="preserve">Blocking a page in robots.txt doesn't remove it from Google.
If Googlebot can't crawl it, it never sees your noindex.
Allow crawl → noindex → wait for recrawl → then block if needed. #TechnicalSEO #EcommerceSEO</t>
  </si>
  <si>
    <t xml:space="preserve">Noindex vs Robots.txt: Why Blocked Pages Stay in Google</t>
  </si>
  <si>
    <t xml:space="preserve">Noindex vs robots.txt explained for ecommerce stores: why blocking a page stops Google from seeing your noindex tag, and the right order to remove pages from search. #Shorts</t>
  </si>
  <si>
    <t xml:space="preserve">noindex vs robots.txt, noindex, robots.txt, indexed though blocked by robots.txt, technical seo, ecommerce seo, shopify seo, woocommerce seo, deindex pages, permanent seo</t>
  </si>
  <si>
    <t xml:space="preserve">Redirect chains on older stores: the one-hop cleanup</t>
  </si>
  <si>
    <t xml:space="preserve">Your old product URL redirects four times before it lands.</t>
  </si>
  <si>
    <t xml:space="preserve">redirect chains seo</t>
  </si>
  <si>
    <t xml:space="preserve">301 redirect chain, redirect loops ecommerce, shopify redirects cleanup, internal links redirects, screaming frog redirect chains</t>
  </si>
  <si>
    <t xml:space="preserve">Your old product URL redirects four times before it lands anywhere.
Every store that's been running a few years builds up redirect chains.
Old product → renamed product → moved collection → new URL structure.
Each hop:
→ Adds load time for shoppers
→ Adds work for Googlebot. Google's documentation says it follows a limited number of redirect hops, and long chains can stop it reaching the final page.
→ Creates more places for loops and errors to hide
Our cleanup order:
→ Crawl the store and export every chain and loop
→ Point every old URL straight to the final page, in one hop
→ Update internal links, menus and sitemaps to the final URL, so no redirect is needed
→ Recrawl and confirm zero chains
This is a good quiet-week job. Low risk, clear checklist, and it makes every future migration easier.
Full walkthrough in the video. And happy holidays to everyone running a store this week.
Comment "CHAINS" and I'll send you the Redirect Chain Cleanup Workflow (Screaming Frog + Google Sheet).
#TechnicalSEO #Redirects #EcommerceSEO #ShopifySEO</t>
  </si>
  <si>
    <t xml:space="preserve">#TechnicalSEO #Redirects #EcommerceSEO #ShopifySEO</t>
  </si>
  <si>
    <t xml:space="preserve">Your old URL redirects 4 times before it lands.
Each hop slows shoppers and Googlebot.
Fix:
→ Export every chain
→ One hop to the final page
→ Update internal links + menus
→ Recrawl, confirm zero chains
Save this for your next store audit. Share it with your developer.
Comment "CHAINS" for the Redirect Chain Cleanup Workflow (Screaming Frog + Google Sheet).
#technicalseo #redirects #301redirect #ecommerceseo #shopifyseo #woocommerceseo #seotips #sitespeed #internallinks #onlinestore #seoexpert #permanentseo</t>
  </si>
  <si>
    <t xml:space="preserve">#technicalseo #redirects #301redirect #ecommerceseo #shopifyseo #woocommerceseo #seotips #sitespeed #internallinks #onlinestore #seoexpert #permanentseo</t>
  </si>
  <si>
    <t xml:space="preserve">Scene 1 [0-9s] VO: Right. Old product, redirected to the new one. Then we renamed it. Then we moved collections. So it goes... where now? | VISUAL: Founder tracing arrows on a whiteboard, the arrows keep going
Scene 2 [9-21s] VO: Let's be honest. Every store that's been around a few years has redirect chains. Old URL to newer URL to newest URL. Sometimes in a loop. | VISUAL: Animated chain: A → B → C → D
Scene 3 [21-33s] VO: Every extra hop slows shoppers down. Google follows a limited number of hops per attempt, and long chains can stop it reaching the final page at all. | VISUAL: Googlebot running through hops, stopping short
Scene 4 [33-38s] VO: It's time to straighten them out. | VISUAL: Title card: ONE HOP. ALWAYS.
Scene 5 [38-50s] VO: At Permanent SEO, we clean redirects in a fixed order, so nothing breaks while we fix it. | VISUAL: Checklist sliding in
Scene 6 [50-64s] VO: Step one. We crawl the store and export every redirect chain and loop. Screaming Frog has a report built for this. | VISUAL: Crawler redirect chains report
Scene 7 [64-78s] VO: Step two. We update every redirect so the first URL goes straight to the final page in one hop. | VISUAL: A → D directly, middle hops fade
Scene 8 [78-92s] VO: Step three. We update internal links, menus and sitemaps to point at the final URL. No redirect needed at all. | VISUAL: Theme menu links being changed
Scene 9 [92-104s] VO: Step four. We recrawl, confirm zero chains, and check Page with redirect counts in Search Console. [CLIENT RESULT: X chains removed]. | VISUAL: Clean crawl report, GSC placeholder
Scene 10 [104-114s] VO: Comment CHAINS for the cleanup workflow. Or book a free e-commerce SEO audit with Permanent SEO. And happy holidays. | VISUAL: End card with subtle festive accent
VERTICAL CUT (40s, IG Reels): Scenes 1, 2, 3, 7, 8, 10.</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</si>
  <si>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[0-9s] VO: Right. Old product, redirected to the new one. Then we renamed it. Then we moved collections. So it goes... where now? | VISUAL: Founder tracing arrows on a whiteboard, the arrows keep going
Scene 2 [9-21s] VO: Let's be honest. Every store that's been around a few years has redirect chains. Old URL to newer URL to newest URL. Sometimes in a loop. | VISUAL: Animated chain: A → B → C → D
Scene 3 [21-33s] VO: Every extra hop slows shoppers down. Google follows a limited number of hops per attempt, and long chains can stop it reaching the final page at all. | VISUAL: Googlebot running through hops, stopping short
Scene 4 [33-38s] VO: It's time to straighten them out. | VISUAL: Title card: ONE HOP. ALWAYS.
Scene 5 [38-50s] VO: At Permanent SEO, we clean redirects in a fixed order, so nothing breaks while we fix it. | VISUAL: Checklist sliding in
Scene 6 [50-64s] VO: Step one. We crawl the store and export every redirect chain and loop. Screaming Frog has a report built for this. | VISUAL: Crawler redirect chains report
Scene 7 [64-78s] VO: Step two. We update every redirect so the first URL goes straight to the final page in one hop. | VISUAL: A → D directly, middle hops fade
Scene 8 [78-92s] VO: Step three. We update internal links, menus and sitemaps to point at the final URL. No redirect needed at all. | VISUAL: Theme menu links being changed
Scene 9 [92-104s] VO: Step four. We recrawl, confirm zero chains, and check Page with redirect counts in Search Console. [CLIENT RESULT: X chains removed]. | VISUAL: Clean crawl report, GSC placeholder
Scene 10 [104-114s] VO: Comment CHAINS for the cleanup workflow. Or book a free e-commerce SEO audit with Permanent SEO. And happy holidays. | VISUAL: End card with subtle festive accent
VERTICAL CUT (40s, IG Reels): Scenes 1, 2, 3, 7, 8, 10.
End card: Permanent SEO logo + 'Comment "CHAINS"'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</si>
  <si>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[0-9s] VO: Right. Old product, redirected to the new one. Then we renamed it. Then we moved collections. So it goes... where now? | VISUAL: Founder tracing arrows on a whiteboard, the arrows keep going
Scene 2 [9-21s] VO: Let's be honest. Every store that's been around a few years has redirect chains. Old URL to newer URL to newest URL. Sometimes in a loop. | VISUAL: Animated chain: A → B → C → D
Scene 3 [21-33s] VO: Every extra hop slows shoppers down. Google follows a limited number of hops per attempt, and long chains can stop it reaching the final page at all. | VISUAL: Googlebot running through hops, stopping short
Scene 4 [33-38s] VO: It's time to straighten them out. | VISUAL: Title card: ONE HOP. ALWAYS.
Scene 5 [38-50s] VO: At Permanent SEO, we clean redirects in a fixed order, so nothing breaks while we fix it. | VISUAL: Checklist sliding in
Scene 6 [50-64s] VO: Step one. We crawl the store and export every redirect chain and loop. Screaming Frog has a report built for this. | VISUAL: Crawler redirect chains report
Scene 7 [64-78s] VO: Step two. We update every redirect so the first URL goes straight to the final page in one hop. | VISUAL: A → D directly, middle hops fade
Scene 8 [78-92s] VO: Step three. We update internal links, menus and sitemaps to point at the final URL. No redirect needed at all. | VISUAL: Theme menu links being changed
Scene 9 [92-104s] VO: Step four. We recrawl, confirm zero chains, and check Page with redirect counts in Search Console. [CLIENT RESULT: X chains removed]. | VISUAL: Clean crawl report, GSC placeholder
Scene 10 [104-114s] VO: Comment CHAINS for the cleanup workflow. Or book a free e-commerce SEO audit with Permanent SEO. And happy holidays. | VISUAL: End card with subtle festive accent
VERTICAL CUT (40s, IG Reels): Scenes 1, 2, 3, 7, 8, 10.
Final 3 s: dark/navy end card with Permanent SEO logo, 'SEO for E-commerce Brands' and 'Comment "CHAINS"'. Burned-in captions. All text spelled exactly as written, sharp and legible on mobile; no extra words, no watermarks.</t>
  </si>
  <si>
    <t xml:space="preserve">CHAINS</t>
  </si>
  <si>
    <t xml:space="preserve">Redirect Chain Cleanup Workflow (Screaming Frog + Google Sheet)</t>
  </si>
  <si>
    <t xml:space="preserve">Redirect chains build up on every older store.
Fix: export every chain, point old URLs straight to the final page in one hop, then update internal links so no redirect is needed.
Good quiet-week job. #TechnicalSEO #EcommerceSEO</t>
  </si>
  <si>
    <t xml:space="preserve">Redirect Chains SEO: Clean Up Old Store URLs in One Hop</t>
  </si>
  <si>
    <t xml:space="preserve">Redirect chains SEO for ecommerce stores: why multi-hop redirects slow shoppers and Googlebot, and a 4-step cleanup process. Explained by Muhammad Mehrooz Shafique, Co-Founder of Permanent SEO.</t>
  </si>
  <si>
    <t xml:space="preserve">redirect chains, 301 redirects, redirect loops, technical seo, ecommerce seo, shopify seo, woocommerce seo, internal links, screaming frog, permanent seo</t>
  </si>
  <si>
    <t xml:space="preserve">Christmas light post: 12 technical checks for the quiet week</t>
  </si>
  <si>
    <t xml:space="preserve">12 technical checks for your store while things are quiet.</t>
  </si>
  <si>
    <t xml:space="preserve">ecommerce technical seo checklist</t>
  </si>
  <si>
    <t xml:space="preserve">shopify seo checklist, woocommerce seo checklist, year end seo audit, store seo maintenance, technical seo checks</t>
  </si>
  <si>
    <t xml:space="preserve">Merry Christmas. Here are 12 technical checks for the quiet days.
Short post today. If you're running a store, the week between Christmas and New Year is often the calmest time to look under the hood.
No big projects. Just checks:
1. robots.txt still allows products and collections
2. Sitemap submitted, no errors in GSC
3. Page indexing: any new spikes?
4. Core Web Vitals report for product pages
5. 404s linked from your own menus
6. Redirect chains from this year's changes
7. Seasonal sale pages: keep, don't delete
8. Canonicals on variants and collection paths
9. Apps you no longer use (and their leftover code)
10. Structured data errors on product pages
11. HTTPS and www versions all resolve to one
12. Note this year's numbers: [YOUR GSC DATA]
Tick what's fine. Write down what isn't. That's your January list.
Enjoy the day.
Comment "TWELVECHECKS" and I'll send you the 12 Technical Checks for Quiet Store Weeks (PDF checklist).
#EcommerceSEO #TechnicalSEO #ShopifySEO #FreeChecklist</t>
  </si>
  <si>
    <t xml:space="preserve">#EcommerceSEO #TechnicalSEO #ShopifySEO #FreeChecklist</t>
  </si>
  <si>
    <t xml:space="preserve">Merry Christmas. 12 checks for the quiet week.
→ robots.txt allows products
→ Sitemap: no errors
→ Indexing spikes?
→ Core Web Vitals
→ Redirect chains
...and 7 more. Tick what's fine. The rest is your January list.
Save this for your next store audit. Share it with your developer.
Comment "TWELVECHECKS" for the 12 Technical Checks for Quiet Store Weeks (PDF checklist).
#ecommerceseo #technicalseo #shopifyseo #woocommerceseo #seochecklist #onlinestore #storeowner #seotips #ecommercetips #freechecklist #searchengineoptimization #permanentseo</t>
  </si>
  <si>
    <t xml:space="preserve">#ecommerceseo #technicalseo #shopifyseo #woocommerceseo #seochecklist #onlinestore #storeowner #seotips #ecommercetips #freechecklist #searchengineoptimization #permanentseo</t>
  </si>
  <si>
    <t xml:space="preserve">Single image, 1080x1350. 'Guide preview' cover with a light festive touch (thin red ribbon line across the top, no clip-art, no emojis). Cream background, navy text, red + lime accents.
TOP LABEL: FREE CHECKLIST
HEADLINE: 12 TECHNICAL CHECKS FOR THE QUIET WEEK
SUB-HEADLINE: For Shopify + WooCommerce stores. 1 coffee per 3 checks.
NUMBERED GRID (2 columns x 6 rows):
01 robots.txt allows products
02 Sitemap: no GSC errors
03 Page indexing spikes
04 Core Web Vitals (product pages)
05 404s in your menus
06 Redirect chains
07 Keep seasonal sale URLs
08 Variant + collection canonicals
09 Unused apps + leftover code
10 Product schema errors
11 One HTTPS + www version
12 Note this year's numbers
BOTTOM BANNER: Comment "TWELVECHECKS" for the printable checklist
FOOTER: Merry Christmas from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</si>
  <si>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"12 technical checks for your store while things are quiet."
SUBHEAD: "Christmas light post: 12 technical checks for the quiet week"
MAIN VISUAL: the layout described below containing exactly: 
Single image, 1080x1350. 'Guide preview' cover with a light festive touch (thin red ribbon line across the top, no clip-art, no emojis). Cream background, navy text, red + lime accents.
TOP LABEL: FREE CHECKLIST
HEADLINE: 12 TECHNICAL CHECKS FOR THE QUIET WEEK
SUB-HEADLINE: For Shopify + WooCommerce stores. 1 coffee per 3 checks.
NUMBERED GRID (2 columns x 6 rows):
01 robots.txt allows products
02 Sitemap: no GSC errors
03 Page indexing spikes
04 Core Web Vitals (product pages)
05 404s in your menus
06 Redirect chains
07 Keep seasonal sale URLs
08 Variant + collection canonicals
09 Unused apps + leftover code
10 Product schema errors
11 One HTTPS + www version
12 Note this year's numbers
BOTTOM BANNER: Comment "TWELVECHECKS" for the printable checklist
FOOTER: Merry Christmas from Muhammad Mehrooz Shafique · Permanent SEO
CTA BANNER (bottom, navy rounded box, white text, keyword in blue): Comment "TWELVECHECKS" for 12 Technical Checks for Quiet Store Weeks (PDF checklist)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</si>
  <si>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"12 technical checks for your store while things are quiet."
BODY (numbered points / simple visual): the 3–5 key points from this brief, shortened to max 8 words each:
Single image, 1080x1350. 'Guide preview' cover with a light festive touch (thin red ribbon line across the top, no clip-art, no emojis). Cream background, navy text, red + lime accents.
TOP LABEL: FREE CHECKLIST
HEADLINE: 12 TECHNICAL CHECKS FOR THE QUIET WEEK
SUB-HEADLINE: For Shopify + WooCommerce stores. 1 coffee per 3 checks.
NUMBERED GRID (2 columns x 6 rows):
01 robots.txt allows products
02 Sitemap: no GSC errors
03 Page indexing spikes
04 Core Web Vitals (product pages)
05 404s in your menus
06 Redirect chains
07 Keep seasonal sale URLs
08 Variant + collection canonicals
09 Unused apps + leftover code
10 Product schema errors
11 One HTTPS + www version
12 Note this year's numbers
BOTTOM BANNER: Comment "TWELVECHECKS" for the printable checklist
FOOTER: Merry Christmas from Muhammad Mehrooz Shafique · Permanent SEO
BOTTOM BAR: Comment "TWELVECHECKS" for 12 Technical Checks for Quiet Store Weeks (PDF checklist)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</si>
  <si>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TWELVECHECKS</t>
  </si>
  <si>
    <t xml:space="preserve">12 Technical Checks for Quiet Store Weeks (PDF checklist)</t>
  </si>
  <si>
    <t xml:space="preserve">Merry Christmas. Quiet week? 12 store checks:
robots.txt, sitemap errors, indexing spikes, CWV, 404s in menus, redirect chains, sale URLs, canonicals, unused apps, schema, HTTPS/www, this year's numbers. #EcommerceSEO #TechnicalSEO</t>
  </si>
  <si>
    <t xml:space="preserve">January plan: how to prioritise your store's technical SEO fixes</t>
  </si>
  <si>
    <t xml:space="preserve">200 audit issues. Time for 10. Fix these first.</t>
  </si>
  <si>
    <t xml:space="preserve">technical seo prioritization</t>
  </si>
  <si>
    <t xml:space="preserve">seo audit priorities, ecommerce seo plan, technical seo roadmap, shopify seo fixes, seo impact effort matrix</t>
  </si>
  <si>
    <t xml:space="preserve">200 audit issues. Time for 10. Here's what to fix first in January.
Every audit tool gives you a long list. Most of it doesn't matter yet.
The mistake: fixing what's easy instead of what's important. Alt text warnings get done. The noindex on a collection stays.
Score each issue on three things:
→ How many pages it affects
→ How much revenue those pages make
→ How much effort the fix takes
Then work in this order:
→ P1: Anything blocking indexing on product or collection pages
→ P2: Crawl waste at scale (filters, duplicate paths, parameters, chains)
→ P3: Core Web Vitals on your top-selling product pages
→ P4: Mixed signals (hreflang, sitemaps, internal links)
→ P5: Minor warnings, batched
Turn it into a 4-week calendar and review Search Console every Monday.
A short list you finish beats a long list you don't.
Comment "JANFIX" and I'll send you the January Technical SEO Priority Matrix (Google Sheet).
#TechnicalSEO #EcommerceSEO #SEOStrategy #ShopifySEO</t>
  </si>
  <si>
    <t xml:space="preserve">#TechnicalSEO #EcommerceSEO #SEOStrategy #ShopifySEO</t>
  </si>
  <si>
    <t xml:space="preserve">200 audit issues. Fix these first.
→ P1: Blocks indexing
→ P2: Crawl waste at scale
→ P3: CWV on top products
→ P4: Mixed signals
→ P5: Minor warnings
A short list you finish beats a long list you don't.
Save this for your next store audit. Share it with your developer.
Comment "JANFIX" for the January Technical SEO Priority Matrix (Google Sheet).
#technicalseo #ecommerceseo #seostrategy #shopifyseo #woocommerceseo #seoplanning #onlinestore #storeowner #seotips #ecommercegrowth #searchengineoptimization #permanentseo</t>
  </si>
  <si>
    <t xml:space="preserve">#technicalseo #ecommerceseo #seostrategy #shopifyseo #woocommerceseo #seoplanning #onlinestore #storeowner #seotips #ecommercegrowth #searchengineoptimization #permanentseo</t>
  </si>
  <si>
    <t xml:space="preserve">Slide 1: What to fix first in January | A simple way to prioritise your store's technical SEO list.
Slide 2: The problem | Audits give you 200 issues. You have time for 10. Most stores fix the easy ones, not the important ones.
Slide 3: Score every issue on 3 things | Pages affected. Revenue of those pages. Effort to fix. 1–5 each.
Slide 4: Priority 1: Blocks indexing | robots.txt blocks, accidental noindex, broken canonicals on product or collection pages. Fix this week.
Slide 5: Priority 2: Wastes crawling at scale | Filter URLs, duplicate collection paths, parameter bloat, redirect chains.
Slide 6: Priority 3: Hurts buying pages | Core Web Vitals on product pages: LCP ≤2.5s, INP ≤200ms, CLS ≤0.1. Start with top sellers.
Slide 7: Priority 4: Confuses signals | Hreflang errors, mixed internal links, sitemap listing non-canonical URLs.
Slide 8: Priority 5: Nice to have | Minor alt text gaps, small title length warnings. Batch them, don't start with them.
Slide 9: Make it a calendar | Week 1: P1. Weeks 2–3: P2. Week 4: P3 on top 20 products. Review in GSC every Monday.
Slide 10: Get the priority matrix | Comment JANFIX for the sheet. Follow Muhammad Mehrooz Shafique for more store SEO.
INSTAGRAM VERSION (8 slides): merge slides 2+3, drop slide 8.</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</si>
  <si>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What to fix first in January | A simple way to prioritise your store's technical SEO list.
Slide 2: The problem | Audits give you 200 issues. You have time for 10. Most stores fix the easy ones, not the important ones.
Slide 3: Score every issue on 3 things | Pages affected. Revenue of those pages. Effort to fix. 1–5 each.
Slide 4: Priority 1: Blocks indexing | robots.txt blocks, accidental noindex, broken canonicals on product or collection pages. Fix this week.
Slide 5: Priority 2: Wastes crawling at scale | Filter URLs, duplicate collection paths, parameter bloat, redirect chains.
Slide 6: Priority 3: Hurts buying pages | Core Web Vitals on product pages: LCP ≤2.5s, INP ≤200ms, CLS ≤0.1. Start with top sellers.
Slide 7: Priority 4: Confuses signals | Hreflang errors, mixed internal links, sitemap listing non-canonical URLs.
Slide 8: Priority 5: Nice to have | Minor alt text gaps, small title length warnings. Batch them, don't start with them.
Slide 9: Make it a calendar | Week 1: P1. Weeks 2–3: P2. Week 4: P3 on top 20 products. Review in GSC every Monday.
Slide 10: Get the priority matrix | Comment JANFIX for the sheet. Follow Muhammad Mehrooz Shafique for more store SEO.
INSTAGRAM VERSION (8 slides): merge slides 2+3, drop slide 8.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</si>
  <si>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What to fix first in January | A simple way to prioritise your store's technical SEO list.
Slide 2: The problem | Audits give you 200 issues. You have time for 10. Most stores fix the easy ones, not the important ones.
Slide 3: Score every issue on 3 things | Pages affected. Revenue of those pages. Effort to fix. 1–5 each.
Slide 4: Priority 1: Blocks indexing | robots.txt blocks, accidental noindex, broken canonicals on product or collection pages. Fix this week.
Slide 5: Priority 2: Wastes crawling at scale | Filter URLs, duplicate collection paths, parameter bloat, redirect chains.
Slide 6: Priority 3: Hurts buying pages | Core Web Vitals on product pages: LCP ≤2.5s, INP ≤200ms, CLS ≤0.1. Start with top sellers.
Slide 7: Priority 4: Confuses signals | Hreflang errors, mixed internal links, sitemap listing non-canonical URLs.
Slide 8: Priority 5: Nice to have | Minor alt text gaps, small title length warnings. Batch them, don't start with them.
Slide 9: Make it a calendar | Week 1: P1. Weeks 2–3: P2. Week 4: P3 on top 20 products. Review in GSC every Monday.
Slide 10: Get the priority matrix | Comment JANFIX for the sheet. Follow Muhammad Mehrooz Shafique for more store SEO.
INSTAGRAM VERSION (8 slides): merge slides 2+3, drop slide 8.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</si>
  <si>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JANFIX</t>
  </si>
  <si>
    <t xml:space="preserve">January Technical SEO Priority Matrix (Google Sheet)</t>
  </si>
  <si>
    <t xml:space="preserve">200 audit issues. Time for 10. What to fix first in January (thread)
---
Score each issue: pages affected, revenue of those pages, effort. 1–5 each.
---
P1: anything blocking indexing on products or collections. robots.txt, noindex, broken canonicals.
P2: crawl waste at scale. Filters, duplicate paths, parameters, chains.
---
P3: Core Web Vitals on top sellers. LCP ≤2.5s, INP ≤200ms, CLS ≤0.1.
P4: mixed signals. Hreflang, sitemaps, internal links.
P5: minor warnings, batched.
---
Week 1: P1. Weeks 2–3: P2. Week 4: P3.
A short list you finish beats a long list you don't. #TechnicalSEO #EcommerceSEO</t>
  </si>
  <si>
    <t xml:space="preserve">How I prioritise technical SEO fixes for an online store when the audit list is huge</t>
  </si>
  <si>
    <t xml:space="preserve">Most audit tools hand you hundreds of issues, and it is easy to spend a month on warnings that don't move anything. Here is the order I use for stores.
First, score each issue on pages affected, revenue of those pages, and effort to fix.
Then:
1. Anything stopping product or collection pages from being indexed. Accidental noindex, robots.txt blocks, canonicals pointing to the wrong page.
2. Crawl waste at scale. Filter and sort parameters, duplicate collection paths, redirect chains.
3. Core Web Vitals on the best-selling product pages, using field data from Search Console rather than lab scores alone.
4. Mixed signals such as hreflang errors or sitemaps listing non-canonical URLs.
5. Minor warnings like alt text gaps, done in batches.
I put it into a four-week plan and check Search Console once a week.
How do you decide what goes first when you're working through a big technical backlog?</t>
  </si>
  <si>
    <t xml:space="preserve">View source vs rendered HTML: is Google seeing your product data?</t>
  </si>
  <si>
    <t xml:space="preserve">Your price is on the page. Is it in Google's HTML?</t>
  </si>
  <si>
    <t xml:space="preserve">javascript seo ecommerce</t>
  </si>
  <si>
    <t xml:space="preserve">rendered html google, url inspection test live url, client side rendering seo, headless shopify seo, product data javascript</t>
  </si>
  <si>
    <t xml:space="preserve">Your price is on the page. Is it in the HTML Google sees?
Many stores load key content with JavaScript: prices, reviews, stock, related products, even product descriptions on some headless builds.
Google can render JavaScript. But rendering takes extra work, can be delayed, and fails when scripts error or are blocked.
The quick check:
→ Open a product page. View source (Ctrl+U). Search for the price, the H1, and a line of description.
→ In Search Console, run URL Inspection → Test live URL → View tested page → HTML.
→ Compare. Anything missing from view source but present in the rendered HTML depends on JavaScript.
→ Anything missing from both is invisible to Google.
What should be in the initial HTML on a product page:
→ Title, H1, main description
→ Price and availability
→ Product structured data
→ Links to collections and related products, as real &lt;a href&gt; links
Ten minutes. One template check covers every product using it.
Comment "RENDERCHECK" and I'll send you the Rendered HTML Check SOP (step-by-step PDF).
#JavaScriptSEO #TechnicalSEO #EcommerceSEO #GoogleSearchConsole</t>
  </si>
  <si>
    <t xml:space="preserve">#JavaScriptSEO #TechnicalSEO #EcommerceSEO #GoogleSearchConsole</t>
  </si>
  <si>
    <t xml:space="preserve">Is your price in the HTML Google sees?
Prices, reviews and stock often load with JavaScript.
Quick check:
→ View source: search for price + H1
→ GSC URL Inspection: view rendered HTML
→ Compare
Missing from both = invisible to Google.
Save this for your next store audit. Share it with your developer.
Comment "RENDERCHECK" for the Rendered HTML Check SOP (step-by-step PDF).
#javascriptseo #technicalseo #ecommerceseo #googlesearchconsole #shopifyseo #woocommerce #rendering #headlesscommerce #seotips #onlinestore #seoexpert #permanentseo</t>
  </si>
  <si>
    <t xml:space="preserve">#javascriptseo #technicalseo #ecommerceseo #googlesearchconsole #shopifyseo #woocommerce #rendering #headlesscommerce #seotips #onlinestore #seoexpert #permanentseo</t>
  </si>
  <si>
    <t xml:space="preserve">Single image, 1080x1350. Annotated screenshot comparison. Split screen, top/bottom.
HEADLINE: WHAT YOU SEE VS WHAT GOOGLE GETS
SUB-HEADLINE: The 10-minute rendered HTML check for product pages
TOP PANEL 'VIEW SOURCE (initial HTML)': mock code window with lines: &lt;title&gt;Linen Shirt&lt;/title&gt; ✅ ; &lt;h1&gt;Linen Shirt&lt;/h1&gt; ✅ ; &lt;div id="price"&gt;&lt;/div&gt; ❌ (annotation: 'Price loaded by JS') ; &lt;div id="reviews"&gt;&lt;/div&gt; ❌
BOTTOM PANEL 'RENDERED HTML (GSC URL Inspection)': same lines but price '£45.00' ✅ and reviews ✅ filled; one item 'Related products' still ❌ with annotation 'Missing in both = invisible'.
RIGHT SIDEBAR 'MUST BE IN INITIAL HTML': Title · H1 · Description · Price + availability · Product schema · Real &lt;a href&gt; links
STEPS STRIP: 1 Ctrl+U → 2 Search price/H1 → 3 GSC Test live URL → 4 View tested page → HTML → 5 Compare
FOOTER BANNER: Comment "RENDERCHECK" for the SOP |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</si>
  <si>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"Your price is on the page. Is it in Google's HTML?"
SUBHEAD: "View source vs rendered HTML: is Google seeing your product data?"
MAIN VISUAL: the layout described below containing exactly: 
Single image, 1080x1350. Annotated screenshot comparison. Split screen, top/bottom.
HEADLINE: WHAT YOU SEE VS WHAT GOOGLE GETS
SUB-HEADLINE: The 10-minute rendered HTML check for product pages
TOP PANEL 'VIEW SOURCE (initial HTML)': mock code window with lines: &lt;title&gt;Linen Shirt&lt;/title&gt; ✅ ; &lt;h1&gt;Linen Shirt&lt;/h1&gt; ✅ ; &lt;div id="price"&gt;&lt;/div&gt; ❌ (annotation: 'Price loaded by JS') ; &lt;div id="reviews"&gt;&lt;/div&gt; ❌
BOTTOM PANEL 'RENDERED HTML (GSC URL Inspection)': same lines but price '£45.00' ✅ and reviews ✅ filled; one item 'Related products' still ❌ with annotation 'Missing in both = invisible'.
RIGHT SIDEBAR 'MUST BE IN INITIAL HTML': Title · H1 · Description · Price + availability · Product schema · Real &lt;a href&gt; links
STEPS STRIP: 1 Ctrl+U → 2 Search price/H1 → 3 GSC Test live URL → 4 View tested page → HTML → 5 Compare
FOOTER BANNER: Comment "RENDERCHECK" for the SOP | Muhammad Mehrooz Shafique · Permanent SEO
CTA BANNER (bottom, navy rounded box, white text, keyword in blue): Comment "RENDERCHECK" for Rendered HTML Check SOP (step-by-step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</si>
  <si>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"Your price is on the page. Is it in Google's HTML?"
BODY (numbered points / simple visual): the 3–5 key points from this brief, shortened to max 8 words each:
Single image, 1080x1350. Annotated screenshot comparison. Split screen, top/bottom.
HEADLINE: WHAT YOU SEE VS WHAT GOOGLE GETS
SUB-HEADLINE: The 10-minute rendered HTML check for product pages
TOP PANEL 'VIEW SOURCE (initial HTML)': mock code window with lines: &lt;title&gt;Linen Shirt&lt;/title&gt; ✅ ; &lt;h1&gt;Linen Shirt&lt;/h1&gt; ✅ ; &lt;div id="price"&gt;&lt;/div&gt; ❌ (annotation: 'Price loaded by JS') ; &lt;div id="reviews"&gt;&lt;/div&gt; ❌
BOTTOM PANEL 'RENDERED HTML (GSC URL Inspection)': same lines but price '£45.00' ✅ and reviews ✅ filled; one item 'Related products' still ❌ with annotation 'Missing in both = invisible'.
RIGHT SIDEBAR 'MUST BE IN INITIAL HTML': Title · H1 · Description · Price + availability · Product schema · Real &lt;a href&gt; links
STEPS STRIP: 1 Ctrl+U → 2 Search price/H1 → 3 GSC Test live URL → 4 View tested page → HTML → 5 Compare
FOOTER BANNER: Comment "RENDERCHECK" for the SOP | Muhammad Mehrooz Shafique · Permanent SEO
BOTTOM BAR: Comment "RENDERCHECK" for Rendered HTML Check SOP (step-by-step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</si>
  <si>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RENDERCHECK</t>
  </si>
  <si>
    <t xml:space="preserve">Rendered HTML Check SOP (step-by-step PDF)</t>
  </si>
  <si>
    <t xml:space="preserve">10-minute product page check:
1. View source, search for price + H1
2. GSC URL Inspection → Test live URL → view HTML
3. Compare
Missing from view source = depends on JS. Missing from both = invisible. #JavaScriptSEO #TechnicalSEO</t>
  </si>
  <si>
    <t xml:space="preserve">Seasonal sale pages: keep one evergreen URL, don't delete it</t>
  </si>
  <si>
    <t xml:space="preserve">We don't delete sale pages in January.</t>
  </si>
  <si>
    <t xml:space="preserve">black friday page seo</t>
  </si>
  <si>
    <t xml:space="preserve">seasonal landing page seo, evergreen sale url, christmas sale page seo, shopify sale collection, holiday sale pages</t>
  </si>
  <si>
    <t xml:space="preserve">We don't delete Black Friday and Christmas pages in January.
A common post-season clean-up:
→ Delete the sale page
→ Next year, create a new one at a new URL like /black-friday-2027
→ Start again from zero
That throws away every link, mention and bit of history the page earned.
Google's own advice for seasonal pages is to keep a consistent URL and reuse it each year.
What we do instead:
→ One URL per event, with no year in it: /collections/black-friday, /collections/christmas-gifts
→ When the sale ends, keep the page live with useful content: what to expect next year, an email sign-up, best sellers
→ Keep internal links to it in place (footer or seasonal hub)
→ Update it each year rather than replacing it
If you already have dated URLs, 301 the old ones to the evergreen version.
Your seasonal page should get stronger every year, not reset.
Comment "EVERGREENURL" and I'll send you the Seasonal Sale Page URL Playbook (PDF).
#EcommerceSEO #TechnicalSEO #BlackFriday #ShopifySEO</t>
  </si>
  <si>
    <t xml:space="preserve">#EcommerceSEO #TechnicalSEO #BlackFriday #ShopifySEO</t>
  </si>
  <si>
    <t xml:space="preserve">Don't delete sale pages in January.
→ One URL, no year in it
→ Keep it live with useful content
→ Keep links to it
→ Update it every season
Delete it and every link it earned starts from zero.
Save this for your next store audit. Share it with your developer.
Comment "EVERGREENURL" for the Seasonal Sale Page URL Playbook (PDF).
#ecommerceseo #technicalseo #blackfriday #shopifyseo #woocommerce #salepages #seotips #onlinestore #ecommercemarketing #seomyths #storeowner #permanentseo</t>
  </si>
  <si>
    <t xml:space="preserve">#ecommerceseo #technicalseo #blackfriday #shopifyseo #woocommerce #salepages #seotips #onlinestore #ecommercemarketing #seomyths #storeowner #permanentseo</t>
  </si>
  <si>
    <t xml:space="preserve">[0-2s] VO: We don't delete sale pages in January. | ON-SCREEN: WE DON'T DELETE SALE PAGES IN JANUARY. | VISUAL: Trash can, sale page hovering, then pulled back
[2-4s] VO: We keep the URL for next year. | ON-SCREEN: WE KEEP THE URL FOR NEXT YEAR. | VISUAL: Calendar flips to next November
[4-6s] VO: Most stores do this. | ON-SCREEN: MOST STORES DO THIS: | VISUAL: Quick cut
[6-7s] VO: Delete it. | ON-SCREEN: DELETE IT. | VISUAL: Word stamps
[7-8s] VO: New URL. | ON-SCREEN: NEW URL. | VISUAL: Word stamps
[8-9s] VO: Start again. | ON-SCREEN: START AGAIN. | VISUAL: Word stamps
[9-12s] VO: But one sale URL needs three things. | ON-SCREEN: BUT ONE SALE URL NEEDS 3 THINGS. | VISUAL: Three slots
[12-15s] VO: The same address every year. | ON-SCREEN: 1. SAME URL EVERY YEAR | VISUAL: /collections/black-friday
[15-18s] VO: Useful content when the sale ends. | ON-SCREEN: 2. USEFUL OFF-SEASON CONTENT | VISUAL: 'Sign up for next year' block
[18-21s] VO: Links that stay in place. | ON-SCREEN: 3. LINKS KEPT IN PLACE | VISUAL: Footer link highlighted
[21-25s] VO: Delete it, and every link it earned starts from zero. | ON-SCREEN: DELETE IT → LINKS START AT ZERO | VISUAL: Link icons falling away
[25-27s] VO: Every single year. | ON-SCREEN: EVERY YEAR. | VISUAL: Repeating loop
[27-31s] VO: One URL, kept and improved, wins the season. | ON-SCREEN: ONE URL. EVERY SEASON. | VISUAL: Logo + Comment EVERGREENURL</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</si>
  <si>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delete sale pages in January. | ON-SCREEN: WE DON'T DELETE SALE PAGES IN JANUARY. | VISUAL: Trash can, sale page hovering, then pulled back
[2-4s] VO: We keep the URL for next year. | ON-SCREEN: WE KEEP THE URL FOR NEXT YEAR. | VISUAL: Calendar flips to next November
[4-6s] VO: Most stores do this. | ON-SCREEN: MOST STORES DO THIS: | VISUAL: Quick cut
[6-7s] VO: Delete it. | ON-SCREEN: DELETE IT. | VISUAL: Word stamps
[7-8s] VO: New URL. | ON-SCREEN: NEW URL. | VISUAL: Word stamps
[8-9s] VO: Start again. | ON-SCREEN: START AGAIN. | VISUAL: Word stamps
[9-12s] VO: But one sale URL needs three things. | ON-SCREEN: BUT ONE SALE URL NEEDS 3 THINGS. | VISUAL: Three slots
[12-15s] VO: The same address every year. | ON-SCREEN: 1. SAME URL EVERY YEAR | VISUAL: /collections/black-friday
[15-18s] VO: Useful content when the sale ends. | ON-SCREEN: 2. USEFUL OFF-SEASON CONTENT | VISUAL: 'Sign up for next year' block
[18-21s] VO: Links that stay in place. | ON-SCREEN: 3. LINKS KEPT IN PLACE | VISUAL: Footer link highlighted
[21-25s] VO: Delete it, and every link it earned starts from zero. | ON-SCREEN: DELETE IT → LINKS START AT ZERO | VISUAL: Link icons falling away
[25-27s] VO: Every single year. | ON-SCREEN: EVERY YEAR. | VISUAL: Repeating loop
[27-31s] VO: One URL, kept and improved, wins the season. | ON-SCREEN: ONE URL. EVERY SEASON. | VISUAL: Logo + Comment EVERGREENURL
Final 3 s: dark/navy end card with Permanent SEO logo, 'SEO for E-commerce Brands' and 'Comment "EVERGREENURL"'. Burned-in captions. All text spelled exactly as written, sharp and legible on mobile; no extra words, no watermarks.</t>
  </si>
  <si>
    <t xml:space="preserve">EVERGREENURL</t>
  </si>
  <si>
    <t xml:space="preserve">Seasonal Sale Page URL Playbook (PDF)</t>
  </si>
  <si>
    <t xml:space="preserve">Don't delete your Black Friday or Christmas sale page in January.
Keep one URL with no year in it. Keep it live with useful content. Update it each season.
New URL every year = starting from zero every year. #EcommerceSEO #BlackFriday</t>
  </si>
  <si>
    <t xml:space="preserve">Black Friday Page SEO: Why You Should Never Delete It</t>
  </si>
  <si>
    <t xml:space="preserve">Black Friday page SEO for ecommerce stores: keep one evergreen URL for seasonal sales instead of deleting and recreating it every year. #Shorts</t>
  </si>
  <si>
    <t xml:space="preserve">black friday page seo, seasonal landing pages, evergreen urls, ecommerce seo, shopify seo, christmas sale seo, technical seo, sale pages, holiday seo, permanent seo</t>
  </si>
  <si>
    <t xml:space="preserve">Year-end: a weekly, monthly, quarterly technical SEO routine</t>
  </si>
  <si>
    <t xml:space="preserve">Same technical issues as last January? Here's the routine that stops that.</t>
  </si>
  <si>
    <t xml:space="preserve">ecommerce technical seo plan</t>
  </si>
  <si>
    <t xml:space="preserve">technical seo maintenance, seo routine ecommerce, monthly seo checklist, shopify seo plan 2027, ongoing technical seo</t>
  </si>
  <si>
    <t xml:space="preserve">Same technical issues as last January? Here's the routine that stops that.
Most online stores don't have a technical SEO knowledge problem. They have a follow-through problem.
Filters get added. Apps pile up. Products get retired. Nobody checks until traffic drops. Then it's a big, stressful audit.
The fix is a rhythm, not a project:
Weekly (10 minutes):
→ Page indexing changes, Core Web Vitals, new errors in Search Console
Monthly:
→ Crawl the store. Redirect chains, 404s in menus, canonicals on new products, sitemap check
Quarterly:
→ Crawl Stats or log review, filter URL review, app and script audit, hreflang if you sell abroad
Before any launch or migration:
→ Full redirect map and robots.txt check
That's it. Small checks, done on time, beat one big audit a year.
Thanks for following along this month. Happy new year.
Comment "TECHPLAN27" and I'll send you the 2027 Store Technical SEO Plan (12-month Google Sheet).
#TechnicalSEO #EcommerceSEO #SEOStrategy #NewYear</t>
  </si>
  <si>
    <t xml:space="preserve">#TechnicalSEO #EcommerceSEO #SEOStrategy #NewYear</t>
  </si>
  <si>
    <t xml:space="preserve">Same issues as last January?
Make it a routine:
→ Weekly: 10 min in Search Console
→ Monthly: crawl the store
→ Quarterly: logs, filters, apps, hreflang
→ Before launches: redirects + robots.txt
Happy new year.
Save this for your next store audit. Share it with your developer.
Comment "TECHPLAN27" for the 2027 Store Technical SEO Plan (12-month Google Sheet).
#technicalseo #ecommerceseo #seostrategy #shopifyseo #woocommerceseo #seoplanning #newyear #onlinestore #storeowner #seotips #ecommercegrowth #permanentseo</t>
  </si>
  <si>
    <t xml:space="preserve">#technicalseo #ecommerceseo #seostrategy #shopifyseo #woocommerceseo #seoplanning #newyear #onlinestore #storeowner #seotips #ecommercegrowth #permanentseo</t>
  </si>
  <si>
    <t xml:space="preserve">Scene 1 [0-9s] VO: Okay, new year, new plan. More content, more products, more... wait, did anyone ever fix the issues from last January? | VISUAL: Founder opening last year's audit PDF, still unread
Scene 2 [9-21s] VO: Let's be honest. Most stores don't have a technical SEO problem. They have a follow-through problem. The same issues come back every year. | VISUAL: Same issue cards reappearing on a calendar
Scene 3 [21-33s] VO: Filters get added. Apps pile up. Products get retired. And nobody checks until traffic drops. | VISUAL: Store growing, small cracks appearing
Scene 4 [33-38s] VO: This year, make it a routine. | VISUAL: Title card: TECHNICAL SEO AS A ROUTINE
Scene 5 [38-50s] VO: At Permanent SEO, we run technical SEO for stores on a simple rhythm: weekly, monthly, quarterly. | VISUAL: Three rings: weekly, monthly, quarterly
Scene 6 [50-64s] VO: Weekly. Ten minutes in Search Console. Page indexing changes, Core Web Vitals, any new errors. | VISUAL: GSC dashboard glance
Scene 7 [64-78s] VO: Monthly. A crawl of the store. New redirect chains, 404s in menus, canonicals on new products, sitemap checks. | VISUAL: Crawler run, list of findings
Scene 8 [78-92s] VO: Quarterly. The deeper work. Crawl stats or logs, filter URL review, app and script audit, hreflang if you sell abroad. | VISUAL: Deeper audit layers
Scene 9 [92-104s] VO: And before any launch or migration: a full redirect and robots.txt check. [CLIENT RESULT: placeholder for annual summary]. | VISUAL: Launch checklist ticking
Scene 10 [104-115s] VO: Comment TECHPLAN27 for the 12-month plan. Or book a free e-commerce SEO audit with Permanent SEO. Happy new year. | VISUAL: End card
VERTICAL CUT (40s, IG Reels): Scenes 1, 2, 4, 6, 7, 8, 10.</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</si>
  <si>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[0-9s] VO: Okay, new year, new plan. More content, more products, more... wait, did anyone ever fix the issues from last January? | VISUAL: Founder opening last year's audit PDF, still unread
Scene 2 [9-21s] VO: Let's be honest. Most stores don't have a technical SEO problem. They have a follow-through problem. The same issues come back every year. | VISUAL: Same issue cards reappearing on a calendar
Scene 3 [21-33s] VO: Filters get added. Apps pile up. Products get retired. And nobody checks until traffic drops. | VISUAL: Store growing, small cracks appearing
Scene 4 [33-38s] VO: This year, make it a routine. | VISUAL: Title card: TECHNICAL SEO AS A ROUTINE
Scene 5 [38-50s] VO: At Permanent SEO, we run technical SEO for stores on a simple rhythm: weekly, monthly, quarterly. | VISUAL: Three rings: weekly, monthly, quarterly
Scene 6 [50-64s] VO: Weekly. Ten minutes in Search Console. Page indexing changes, Core Web Vitals, any new errors. | VISUAL: GSC dashboard glance
Scene 7 [64-78s] VO: Monthly. A crawl of the store. New redirect chains, 404s in menus, canonicals on new products, sitemap checks. | VISUAL: Crawler run, list of findings
Scene 8 [78-92s] VO: Quarterly. The deeper work. Crawl stats or logs, filter URL review, app and script audit, hreflang if you sell abroad. | VISUAL: Deeper audit layers
Scene 9 [92-104s] VO: And before any launch or migration: a full redirect and robots.txt check. [CLIENT RESULT: placeholder for annual summary]. | VISUAL: Launch checklist ticking
Scene 10 [104-115s] VO: Comment TECHPLAN27 for the 12-month plan. Or book a free e-commerce SEO audit with Permanent SEO. Happy new year. | VISUAL: End card
VERTICAL CUT (40s, IG Reels): Scenes 1, 2, 4, 6, 7, 8, 10.
End card: Permanent SEO logo + 'Comment "TECHPLAN27"'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</si>
  <si>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[0-9s] VO: Okay, new year, new plan. More content, more products, more... wait, did anyone ever fix the issues from last January? | VISUAL: Founder opening last year's audit PDF, still unread
Scene 2 [9-21s] VO: Let's be honest. Most stores don't have a technical SEO problem. They have a follow-through problem. The same issues come back every year. | VISUAL: Same issue cards reappearing on a calendar
Scene 3 [21-33s] VO: Filters get added. Apps pile up. Products get retired. And nobody checks until traffic drops. | VISUAL: Store growing, small cracks appearing
Scene 4 [33-38s] VO: This year, make it a routine. | VISUAL: Title card: TECHNICAL SEO AS A ROUTINE
Scene 5 [38-50s] VO: At Permanent SEO, we run technical SEO for stores on a simple rhythm: weekly, monthly, quarterly. | VISUAL: Three rings: weekly, monthly, quarterly
Scene 6 [50-64s] VO: Weekly. Ten minutes in Search Console. Page indexing changes, Core Web Vitals, any new errors. | VISUAL: GSC dashboard glance
Scene 7 [64-78s] VO: Monthly. A crawl of the store. New redirect chains, 404s in menus, canonicals on new products, sitemap checks. | VISUAL: Crawler run, list of findings
Scene 8 [78-92s] VO: Quarterly. The deeper work. Crawl stats or logs, filter URL review, app and script audit, hreflang if you sell abroad. | VISUAL: Deeper audit layers
Scene 9 [92-104s] VO: And before any launch or migration: a full redirect and robots.txt check. [CLIENT RESULT: placeholder for annual summary]. | VISUAL: Launch checklist ticking
Scene 10 [104-115s] VO: Comment TECHPLAN27 for the 12-month plan. Or book a free e-commerce SEO audit with Permanent SEO. Happy new year. | VISUAL: End card
VERTICAL CUT (40s, IG Reels): Scenes 1, 2, 4, 6, 7, 8, 10.
Final 3 s: dark/navy end card with Permanent SEO logo, 'SEO for E-commerce Brands' and 'Comment "TECHPLAN27"'. Burned-in captions. All text spelled exactly as written, sharp and legible on mobile; no extra words, no watermarks.</t>
  </si>
  <si>
    <t xml:space="preserve">TECHPLAN27</t>
  </si>
  <si>
    <t xml:space="preserve">2027 Store Technical SEO Plan (12-month Google Sheet)</t>
  </si>
  <si>
    <t xml:space="preserve">Store technical SEO for 2027, as a routine:
Weekly: 10 min in Search Console
Monthly: crawl the store
Quarterly: logs, filters, apps, hreflang
Before launches: redirects + robots.txt
Small checks on time beat one big audit. #TechnicalSEO #EcommerceSEO</t>
  </si>
  <si>
    <t xml:space="preserve">Ecommerce Technical SEO Plan: Weekly, Monthly, Quarterly Checks</t>
  </si>
  <si>
    <t xml:space="preserve">An ecommerce technical SEO plan built as a routine: weekly Search Console checks, monthly crawls and quarterly deep reviews for Shopify and WooCommerce stores. Muhammad Mehrooz Shafique from Permanent SEO walks through the full rhythm.</t>
  </si>
  <si>
    <t xml:space="preserve">ecommerce technical seo, technical seo plan, seo checklist, shopify seo, woocommerce seo, search console, seo maintenance, technical seo audit, seo routine, permanent seo</t>
  </si>
  <si>
    <t xml:space="preserve">Jan 2027</t>
  </si>
  <si>
    <t xml:space="preserve">On-Page SEO for Product &amp; Category Pages</t>
  </si>
  <si>
    <t xml:space="preserve">2027 on-page plan for e-commerce product &amp; category pages</t>
  </si>
  <si>
    <t xml:space="preserve">Your 2027 SEO plan starts on the product page, not the blog.</t>
  </si>
  <si>
    <t xml:space="preserve">ecommerce seo plan 2027</t>
  </si>
  <si>
    <t xml:space="preserve">ecommerce seo strategy, product page seo, category page seo, shopify seo plan, on-page seo checklist</t>
  </si>
  <si>
    <t xml:space="preserve">Your 2027 SEO plan starts on the product page, not the blog.
Most store owners open January with a content calendar.
20 blog posts. A few backlinks. Maybe a new theme.
But the pages that make money are product and category pages.
If those are thin, the blog just sends traffic to weak pages.
Here is the 12-month order I use for e-commerce stores:
→ Q1: keyword map. One intent, one URL. Fix cannibalisation first.
→ Q1: category pages. Intro copy, H1/H2 structure, FAQs from real questions.
→ Q2: product pages. Titles, entity-rich descriptions, replace manufacturer copy.
→ Q2: Product, Offer and review schema. Check merchant listing eligibility.
→ Q3: reviews, image alt text, internal links from blog to products.
→ Q4: meta titles tested on [YOUR GSC DATA] before peak season.
Simple rule: fix the pages that sell before you publish pages that inform.
I put the whole plan into one free guide. 12 chapters, one per month, with the exact checks.
Comment "PLAN2027" and I'll send you the 2027 E-commerce On-Page SEO Plan (12-chapter PDF guide).
#EcommerceSEO #OnPageSEO #ShopifySEO #SEOStrategy</t>
  </si>
  <si>
    <t xml:space="preserve">#EcommerceSEO #OnPageSEO #ShopifySEO #SEOStrategy</t>
  </si>
  <si>
    <t xml:space="preserve">Your 2027 SEO plan starts on the product page.
Not the blog. Not backlinks.
→ Q1: keyword map + category pages
→ Q2: product titles, descriptions, schema
→ Q3: reviews, alt text, internal links
→ Q4: meta titles tested before peak season
Fix the pages that sell first.
Save this for your January planning session.
Comment "PLAN2027" for the 2027 E-commerce On-Page SEO Plan (12-chapter PDF guide).
#ecommerceseo #shopifyseo #onpageseo #seotips #ecommerce #shopifystore #woocommerce #productpages #semanticseo #onlinestore #seostrategy #ecommercetips #seo2027</t>
  </si>
  <si>
    <t xml:space="preserve">#ecommerceseo #shopifyseo #onpageseo #seotips #ecommerce #shopifystore #woocommerce #productpages #semanticseo #onlinestore #seostrategy #ecommercetips #seo2027</t>
  </si>
  <si>
    <t xml:space="preserve">Single image, 1080x1350 (IG) and 1200x1500 (LinkedIn). Style: "guide preview" cover.
Top label (small caps): FREE GUIDE · PERMANENT SEO
Headline (bold condensed, 3 lines): THE 2027 E-COMMERCE ON-PAGE SEO PLAN
Sub-headline: Product &amp; category pages first. Month by month.
Left column — mock PDF cover tilted 8 degrees, showing title "2027 Plan" and a product page wireframe.
Right column — numbered contents list:
01 Keyword map: one intent, one URL
02 Category page copy placement
03 H1/H2 structure for collections
04 FAQ blocks from real customer questions
05 Product title formulas
06 Entity-rich product descriptions
07 Replacing manufacturer copy
08 Product, Offer &amp; AggregateRating schema
09 Merchant listing checks
10 Reviews &amp; product image alt text
11 Blog-to-product internal links
12 Meta titles before peak season
Bottom banner (full width, brand colour): Comment "PLAN2027" for free access
Footer: Muhammad Mehrooz Shafique · Co-Founder,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</si>
  <si>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"Your 2027 SEO plan starts on the product page, not the blog."
SUBHEAD: "2027 on-page plan for e-commerce product &amp; category pages"
MAIN VISUAL: the layout described below containing exactly: 
Single image, 1080x1350 (IG) and 1200x1500 (LinkedIn). Style: "guide preview" cover.
Top label (small caps): FREE GUIDE · PERMANENT SEO
Headline (bold condensed, 3 lines): THE 2027 E-COMMERCE ON-PAGE SEO PLAN
Sub-headline: Product &amp; category pages first. Month by month.
Left column — mock PDF cover tilted 8 degrees, showing title "2027 Plan" and a product page wireframe.
Right column — numbered contents list:
01 Keyword map: one intent, one URL
02 Category page copy placement
03 H1/H2 structure for collections
04 FAQ blocks from real customer questions
05 Product title formulas
06 Entity-rich product descriptions
07 Replacing manufacturer copy
08 Product, Offer &amp; AggregateRating schema
09 Merchant listing checks
10 Reviews &amp; product image alt text
11 Blog-to-product internal links
12 Meta titles before peak season
Bottom banner (full width, brand colour): Comment "PLAN2027" for free access
Footer: Muhammad Mehrooz Shafique · Co-Founder, Permanent SEO
CTA BANNER (bottom, navy rounded box, white text, keyword in blue): Comment "PLAN2027" for 2027 E-commerce On-Page SEO Plan (12-chapter PDF guide)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</si>
  <si>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"Your 2027 SEO plan starts on the product page, not the blog."
BODY (numbered points / simple visual): the 3–5 key points from this brief, shortened to max 8 words each:
Single image, 1080x1350 (IG) and 1200x1500 (LinkedIn). Style: "guide preview" cover.
Top label (small caps): FREE GUIDE · PERMANENT SEO
Headline (bold condensed, 3 lines): THE 2027 E-COMMERCE ON-PAGE SEO PLAN
Sub-headline: Product &amp; category pages first. Month by month.
Left column — mock PDF cover tilted 8 degrees, showing title "2027 Plan" and a product page wireframe.
Right column — numbered contents list:
01 Keyword map: one intent, one URL
02 Category page copy placement
03 H1/H2 structure for collections
04 FAQ blocks from real customer questions
05 Product title formulas
06 Entity-rich product descriptions
07 Replacing manufacturer copy
08 Product, Offer &amp; AggregateRating schema
09 Merchant listing checks
10 Reviews &amp; product image alt text
11 Blog-to-product internal links
12 Meta titles before peak season
Bottom banner (full width, brand colour): Comment "PLAN2027" for free access
Footer: Muhammad Mehrooz Shafique · Co-Founder, Permanent SEO
BOTTOM BAR: Comment "PLAN2027" for 2027 E-commerce On-Page SEO Plan (12-chapter PDF guide)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</si>
  <si>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PLAN2027</t>
  </si>
  <si>
    <t xml:space="preserve">2027 E-commerce On-Page SEO Plan (12-chapter PDF guide)</t>
  </si>
  <si>
    <t xml:space="preserve">Your 2027 SEO plan should start on product and category pages, not the blog.
Q1 keyword map + collections. Q2 products + schema. Q3 reviews + links. Q4 meta titles.
Fix the pages that sell first. #EcommerceSEO #SEO2027</t>
  </si>
  <si>
    <t xml:space="preserve">Product title formulas that match how shoppers search</t>
  </si>
  <si>
    <t xml:space="preserve">Your product titles are written for your warehouse, not Google.</t>
  </si>
  <si>
    <t xml:space="preserve">product title seo</t>
  </si>
  <si>
    <t xml:space="preserve">seo product titles, shopify product title, ecommerce product naming, product title formula, h1 for product pages</t>
  </si>
  <si>
    <t xml:space="preserve">Your product titles are written for your warehouse, not Google.
"Aria 2.0 – Slate" means something to your team.
It means nothing to someone searching "linen duvet cover king size grey".
A product title (your H1) has one job: tell Google and the shopper exactly what this is.
The formula I use on most stores:
Brand + Product type + Key attribute + Variant detail
Examples:
→ Fashion: [Brand] Women's Merino Wool Crew Neck Jumper – Navy
→ Home: [Brand] Stonewashed Linen Duvet Cover – King, Grey
→ Electronics: [Brand] USB-C Charging Cable for iPhone 15 – 2m
→ Beauty: [Brand] Vitamin C Serum 15% for Dull Skin – 30ml
Rules:
→ Product type always included, in the words customers use
→ One attribute that changes buying decisions (material, size, compatibility)
→ No keyword stuffing, no ALL CAPS, no internal SKU codes
→ The meta title can be different. The H1 stays clean and readable.
The carousel has formulas for 6 store categories.
Comment "TITLEFORMULA" and I'll send you the Product Title Formula Sheet for 6 Store Categories (Google Sheet).
#EcommerceSEO #ProductPages #ShopifySEO #OnPageSEO</t>
  </si>
  <si>
    <t xml:space="preserve">#EcommerceSEO #ProductPages #ShopifySEO #OnPageSEO</t>
  </si>
  <si>
    <t xml:space="preserve">Your product titles are written for your warehouse.
"Aria 2.0 – Slate" ranks for nothing.
Use this formula:
Brand + Product type + Key attribute + Variant
→ Merino Wool Crew Neck Jumper – Navy
→ Linen Duvet Cover – King, Grey
→ USB-C Cable for iPhone 15 – 2m
Save this before you edit your next product.
Comment "TITLEFORMULA" for the Product Title Formula Sheet for 6 Store Categories (Google Sheet).
#ecommerceseo #shopifyseo #onpageseo #seotips #ecommerce #shopifystore #woocommerce #productpages #semanticseo #onlinestore #seostrategy #ecommercetips #producttitles</t>
  </si>
  <si>
    <t xml:space="preserve">#ecommerceseo #shopifyseo #onpageseo #seotips #ecommerce #shopifystore #woocommerce #productpages #semanticseo #onlinestore #seostrategy #ecommercetips #producttitles</t>
  </si>
  <si>
    <t xml:space="preserve">Slide 1: Your product titles are written for your warehouse | Not for the people searching Google
Slide 2: The problem | "Aria 2.0 – Slate" means nothing to a shopper or a search engine
Slide 3: What a product title must do | Say what the product is, who it's for, and the detail that decides the purchase
Slide 4: The formula | Brand + Product type + Key attribute + Variant detail
Slide 5: Fashion &amp; Home examples | Women's Merino Wool Crew Neck Jumper – Navy / Stonewashed Linen Duvet Cover – King, Grey
Slide 6: Electronics &amp; Beauty examples | USB-C Charging Cable for iPhone 15 – 2m / Vitamin C Serum 15% for Dull Skin – 30ml
Slide 7: Pick the right attribute | Material, size, compatibility, use case — whichever changes the buying decision
Slide 8: ❌ Avoid | SKU codes, ALL CAPS, repeated keywords, "Best" or "Cheap" in the H1
Slide 9: H1 vs meta title | H1 stays clean. Meta title can add a benefit or USP for clicks
Slide 10: Comment "TITLEFORMULA" for the formula sheet | Follow Muhammad Mehrooz Shafique for e-commerce SEO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</si>
  <si>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Your product titles are written for your warehouse | Not for the people searching Google
Slide 2: The problem | "Aria 2.0 – Slate" means nothing to a shopper or a search engine
Slide 3: What a product title must do | Say what the product is, who it's for, and the detail that decides the purchase
Slide 4: The formula | Brand + Product type + Key attribute + Variant detail
Slide 5: Fashion &amp; Home examples | Women's Merino Wool Crew Neck Jumper – Navy / Stonewashed Linen Duvet Cover – King, Grey
Slide 6: Electronics &amp; Beauty examples | USB-C Charging Cable for iPhone 15 – 2m / Vitamin C Serum 15% for Dull Skin – 30ml
Slide 7: Pick the right attribute | Material, size, compatibility, use case — whichever changes the buying decision
Slide 8: ❌ Avoid | SKU codes, ALL CAPS, repeated keywords, "Best" or "Cheap" in the H1
Slide 9: H1 vs meta title | H1 stays clean. Meta title can add a benefit or USP for clicks
Slide 10: Comment "TITLEFORMULA" for the formula sheet | Follow Muhammad Mehrooz Shafique for e-commerce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</si>
  <si>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Your product titles are written for your warehouse | Not for the people searching Google
Slide 2: The problem | "Aria 2.0 – Slate" means nothing to a shopper or a search engine
Slide 3: What a product title must do | Say what the product is, who it's for, and the detail that decides the purchase
Slide 4: The formula | Brand + Product type + Key attribute + Variant detail
Slide 5: Fashion &amp; Home examples | Women's Merino Wool Crew Neck Jumper – Navy / Stonewashed Linen Duvet Cover – King, Grey
Slide 6: Electronics &amp; Beauty examples | USB-C Charging Cable for iPhone 15 – 2m / Vitamin C Serum 15% for Dull Skin – 30ml
Slide 7: Pick the right attribute | Material, size, compatibility, use case — whichever changes the buying decision
Slide 8: ❌ Avoid | SKU codes, ALL CAPS, repeated keywords, "Best" or "Cheap" in the H1
Slide 9: H1 vs meta title | H1 stays clean. Meta title can add a benefit or USP for clicks
Slide 10: Comment "TITLEFORMULA" for the formula sheet | Follow Muhammad Mehrooz Shafique for e-commerce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</si>
  <si>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TITLEFORMULA</t>
  </si>
  <si>
    <t xml:space="preserve">Product Title Formula Sheet for 6 Store Categories (Google Sheet)</t>
  </si>
  <si>
    <t xml:space="preserve">Your product titles are written for your warehouse, not Google.
"Aria 2.0 – Slate" ranks for nothing. Here's the formula I use instead
---
Brand + Product type + Key attribute + Variant detail
Example: [Brand] Stonewashed Linen Duvet Cover – King, Grey
Every part matches something a shopper actually types.
---
The product type must use customer words.
Not "Sleep Layer". "Duvet Cover".
Check your site search and Google Search Console queries for the real terms.
---
Pick ONE attribute that changes the buying decision:
→ Material (merino, linen)
→ Size (King, 30ml)
→ Compatibility (iPhone 15)
→ Use case (for dull skin)
---
Avoid:
❌ SKU codes
❌ ALL CAPS
❌ Repeated keywords
❌ "Best" or "Cheap" in the H1
---
Keep the H1 clean. Use the meta title to add a benefit for clicks.
Fix your top 20 products first. #EcommerceSEO #ShopifySEO</t>
  </si>
  <si>
    <t xml:space="preserve">A simple product title formula that made our catalogue easier to rank (with examples)</t>
  </si>
  <si>
    <t xml:space="preserve">I see a lot of stores using internal product names as titles, like "Aria 2.0 – Slate". It reads fine to the team but nobody searches for it.
The formula I've settled on for product H1s is:
Brand + Product type + Key attribute + Variant detail
Examples:
- Women's Merino Wool Crew Neck Jumper – Navy
- Stonewashed Linen Duvet Cover – King, Grey
- USB-C Charging Cable for iPhone 15 – 2m
A few rules that help:
1. Product type in the words customers use. Pull them from site search logs and Search Console queries.
2. Only one attribute that actually changes the buying decision (material, size, compatibility, use case).
3. No SKU codes, no caps, no repeated keywords.
4. Keep the H1 readable. If you want a benefit or USP, put it in the meta title instead.
Start with your top 20 products by revenue rather than the whole catalogue.
How do you all handle titles for products with lots of variants? One title with variant options, or separate products?</t>
  </si>
  <si>
    <t xml:space="preserve">Entity attributes every product description needs</t>
  </si>
  <si>
    <t xml:space="preserve">Google reads your product description like a spec sheet. Is yours empty?</t>
  </si>
  <si>
    <t xml:space="preserve">product description seo</t>
  </si>
  <si>
    <t xml:space="preserve">seo product descriptions, product attributes, entity seo ecommerce, semantic product description, how to write product descriptions</t>
  </si>
  <si>
    <t xml:space="preserve">Google reads your product description like a spec sheet. Is yours empty?
Most descriptions are adjectives. "Luxurious. Stylish. Perfect for any occasion."
None of that is information.
Search engines and AI assistants understand products as entities with attributes.
The more clearly you state them, the easier it is to match your page to specific searches.
The 8 attributes I check on every product page:
→ Material / ingredients
→ Size / dimensions / volume
→ Use case (who it's for, when it's used)
→ Compatibility (fits, works with, replaces)
→ Care / maintenance
→ Origin / how it's made
→ What's in the box
→ Who it's NOT for
The image below compares a vague description with an entity-rich one, attribute by attribute.
Write facts first. Then add the story.
Adjectives can support facts. They can't replace them.
Comment "ATTRIBUTES" and I'll send you the Product Attribute Checklist for 8 Store Categories (PDF).
#EcommerceSEO #SemanticSEO #ProductPages #Copywriting</t>
  </si>
  <si>
    <t xml:space="preserve">#EcommerceSEO #SemanticSEO #ProductPages #Copywriting</t>
  </si>
  <si>
    <t xml:space="preserve">Google reads your product description like a spec sheet.
Is yours just adjectives?
Every product page needs:
→ Material
→ Size
→ Use case
→ Compatibility
→ Care
→ What's in the box
Facts first. Story second.
Save this and check your best-seller today.
Comment "ATTRIBUTES" for the Product Attribute Checklist for 8 Store Categories (PDF).
#ecommerceseo #shopifyseo #onpageseo #seotips #ecommerce #shopifystore #woocommerce #productpages #semanticseo #onlinestore #seostrategy #ecommercetips #productdescription #copywriting</t>
  </si>
  <si>
    <t xml:space="preserve">#ecommerceseo #shopifyseo #onpageseo #seotips #ecommerce #shopifystore #woocommerce #productpages #semanticseo #onlinestore #seostrategy #ecommercetips #productdescription #copywriting</t>
  </si>
  <si>
    <t xml:space="preserve">Single image, comparison table infographic, 1080x1350 / 1200x1500.
Headline: VAGUE VS ENTITY-RICH PRODUCT DESCRIPTIONS
Sub-headline: Same product. One gives Google facts. One gives it adjectives.
Product used: a stainless steel water bottle (illustration top right).
Table — 3 columns: Attribute | ❌ Vague | ✅ Entity-rich
Row 1: Material | "Premium quality" | "18/8 stainless steel, BPA-free lid"
Row 2: Size | "Perfect size" | "750ml, 26cm tall, fits most car cup holders"
Row 3: Use case | "Great for everyday" | "Gym, hiking, commuting; keeps drinks cold for [X] hours"
Row 4: Compatibility | (blank) | "Works with our straw lid and carry sling"
Row 5: Care | (blank) | "Hand wash. Lid is dishwasher safe"
Row 6: What's in the box | (blank) | "Bottle, sports cap, cleaning brush"
Row 7: Not for | (blank) | "Not suitable for hot carbonated drinks"
Bottom strip: Facts first. Story second.
Footer: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</si>
  <si>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"Google reads your product description like a spec sheet. Is yours empty?"
SUBHEAD: "Entity attributes every product description needs"
MAIN VISUAL: the layout described below containing exactly: 
Single image, comparison table infographic, 1080x1350 / 1200x1500.
Headline: VAGUE VS ENTITY-RICH PRODUCT DESCRIPTIONS
Sub-headline: Same product. One gives Google facts. One gives it adjectives.
Product used: a stainless steel water bottle (illustration top right).
Table — 3 columns: Attribute | ❌ Vague | ✅ Entity-rich
Row 1: Material | "Premium quality" | "18/8 stainless steel, BPA-free lid"
Row 2: Size | "Perfect size" | "750ml, 26cm tall, fits most car cup holders"
Row 3: Use case | "Great for everyday" | "Gym, hiking, commuting; keeps drinks cold for [X] hours"
Row 4: Compatibility | (blank) | "Works with our straw lid and carry sling"
Row 5: Care | (blank) | "Hand wash. Lid is dishwasher safe"
Row 6: What's in the box | (blank) | "Bottle, sports cap, cleaning brush"
Row 7: Not for | (blank) | "Not suitable for hot carbonated drinks"
Bottom strip: Facts first. Story second.
Footer: Muhammad Mehrooz Shafique · Permanent SEO
CTA BANNER (bottom, navy rounded box, white text, keyword in blue): Comment "ATTRIBUTES" for Product Attribute Checklist for 8 Store Categories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</si>
  <si>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"Google reads your product description like a spec sheet. Is yours empty?"
BODY (numbered points / simple visual): the 3–5 key points from this brief, shortened to max 8 words each:
Single image, comparison table infographic, 1080x1350 / 1200x1500.
Headline: VAGUE VS ENTITY-RICH PRODUCT DESCRIPTIONS
Sub-headline: Same product. One gives Google facts. One gives it adjectives.
Product used: a stainless steel water bottle (illustration top right).
Table — 3 columns: Attribute | ❌ Vague | ✅ Entity-rich
Row 1: Material | "Premium quality" | "18/8 stainless steel, BPA-free lid"
Row 2: Size | "Perfect size" | "750ml, 26cm tall, fits most car cup holders"
Row 3: Use case | "Great for everyday" | "Gym, hiking, commuting; keeps drinks cold for [X] hours"
Row 4: Compatibility | (blank) | "Works with our straw lid and carry sling"
Row 5: Care | (blank) | "Hand wash. Lid is dishwasher safe"
Row 6: What's in the box | (blank) | "Bottle, sports cap, cleaning brush"
Row 7: Not for | (blank) | "Not suitable for hot carbonated drinks"
Bottom strip: Facts first. Story second.
Footer: Muhammad Mehrooz Shafique · Permanent SEO
BOTTOM BAR: Comment "ATTRIBUTES" for Product Attribute Checklist for 8 Store Categories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</si>
  <si>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ATTRIBUTES</t>
  </si>
  <si>
    <t xml:space="preserve">Product Attribute Checklist for 8 Store Categories (PDF)</t>
  </si>
  <si>
    <t xml:space="preserve">Most product descriptions are adjectives. Google needs attributes.
Material. Size. Use case. Compatibility. Care. What's in the box.
Facts first. Story second. #EcommerceSEO #SemanticSEO</t>
  </si>
  <si>
    <t xml:space="preserve">Myth: manufacturer descriptions are good enough</t>
  </si>
  <si>
    <t xml:space="preserve">We don't copy manufacturer descriptions. We start with questions.</t>
  </si>
  <si>
    <t xml:space="preserve">duplicate product descriptions</t>
  </si>
  <si>
    <t xml:space="preserve">manufacturer descriptions seo, duplicate content ecommerce, unique product descriptions, thin product pages</t>
  </si>
  <si>
    <t xml:space="preserve">We don't copy manufacturer descriptions.
It's the fastest way to launch 500 products.
It's also the fastest way to look identical to every other store selling them.
If ten retailers publish the same text, Google has little reason to rank yours.
It usually picks one version and filters the rest.
Before rewriting, I answer three questions for each product:
→ What does our customer ask before buying this?
→ What do we know that the manufacturer doesn't say?
→ Why buy it from us, not the next store?
Those answers become the description.
Sizing notes from returns. Real use cases from reviews. Compatibility your support team explains every week.
You don't need to rewrite 5,000 SKUs this month.
Start with the top 50 by revenue.
Duplicate copy doesn't get you penalised. It just makes you invisible.
Comment "MANUFACTURER" and I'll send you the Manufacturer Copy Rewrite SOP (Google Doc).
#EcommerceSEO #ProductPages #ContentStrategy #ShopifySEO</t>
  </si>
  <si>
    <t xml:space="preserve">#EcommerceSEO #ProductPages #ContentStrategy #ShopifySEO</t>
  </si>
  <si>
    <t xml:space="preserve">We don't copy manufacturer descriptions.
Ten stores, same text, one winner.
Ask instead:
→ What does the customer ask before buying?
→ What do we know that the brand doesn't say?
→ Why buy from us?
Start with your top 50 products.
Share this with whoever uploads your products.
Comment "MANUFACTURER" for the Manufacturer Copy Rewrite SOP (Google Doc).
#ecommerceseo #shopifyseo #onpageseo #seotips #ecommerce #shopifystore #woocommerce #productpages #semanticseo #onlinestore #seostrategy #ecommercetips #duplicatecontent #reels</t>
  </si>
  <si>
    <t xml:space="preserve">#ecommerceseo #shopifyseo #onpageseo #seotips #ecommerce #shopifystore #woocommerce #productpages #semanticseo #onlinestore #seostrategy #ecommercetips #duplicatecontent #reels</t>
  </si>
  <si>
    <t xml:space="preserve">[0-2s] VO: We don't copy manufacturer descriptions. | ON-SCREEN: WE DON'T COPY | VISUAL: Text snaps in on dark background, copy-paste cursor icon crossed out
[2-4s] VO: We start with questions. | ON-SCREEN: WE START WITH QUESTIONS | VISUAL: Question mark pulses
[4-7s] VO: Most stores launch products here. | ON-SCREEN: MOST STORES START HERE | VISUAL: Product grid fills screen
[7-8s] VO: Supplier feed. | ON-SCREEN: SUPPLIER FEED | VISUAL: CSV icon
[8-9s] VO: Copy. | ON-SCREEN: COPY | VISUAL: Ctrl+C keycap
[9-10s] VO: Paste. | ON-SCREEN: PASTE | VISUAL: Ctrl+V keycap
[10-13s] VO: But before you publish, three things need answers. | ON-SCREEN: 3 QUESTIONS FIRST | VISUAL: Three empty boxes
[13-16s] VO: What does the customer ask before buying? | ON-SCREEN: WHAT DO THEY ASK? | VISUAL: Box 1 fills, chat bubble
[16-19s] VO: What do you know that the brand doesn't say? | ON-SCREEN: WHAT DO YOU KNOW? | VISUAL: Box 2 fills, notebook
[19-22s] VO: And why buy it from you? | ON-SCREEN: WHY YOU? | VISUAL: Box 3 fills, store icon
[22-25s] VO: Without those answers, you're one of ten identical pages. | ON-SCREEN: 1 OF 10 IDENTICAL PAGES | VISUAL: Ten matching product cards, nine fade out
[25-27s] VO: Duplicate copy doesn't get you penalised. | ON-SCREEN: NOT PENALISED | VISUAL: Text holds
[27-30s] VO: It makes you invisible. | ON-SCREEN: INVISIBLE | VISUAL: Text fades to transparent
[30-33s] VO: Your knowledge is the description. | ON-SCREEN: COMMENT "MANUFACTURER" | VISUAL: CTA card with name and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</si>
  <si>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copy manufacturer descriptions. | ON-SCREEN: WE DON'T COPY | VISUAL: Text snaps in on dark background, copy-paste cursor icon crossed out
[2-4s] VO: We start with questions. | ON-SCREEN: WE START WITH QUESTIONS | VISUAL: Question mark pulses
[4-7s] VO: Most stores launch products here. | ON-SCREEN: MOST STORES START HERE | VISUAL: Product grid fills screen
[7-8s] VO: Supplier feed. | ON-SCREEN: SUPPLIER FEED | VISUAL: CSV icon
[8-9s] VO: Copy. | ON-SCREEN: COPY | VISUAL: Ctrl+C keycap
[9-10s] VO: Paste. | ON-SCREEN: PASTE | VISUAL: Ctrl+V keycap
[10-13s] VO: But before you publish, three things need answers. | ON-SCREEN: 3 QUESTIONS FIRST | VISUAL: Three empty boxes
[13-16s] VO: What does the customer ask before buying? | ON-SCREEN: WHAT DO THEY ASK? | VISUAL: Box 1 fills, chat bubble
[16-19s] VO: What do you know that the brand doesn't say? | ON-SCREEN: WHAT DO YOU KNOW? | VISUAL: Box 2 fills, notebook
[19-22s] VO: And why buy it from you? | ON-SCREEN: WHY YOU? | VISUAL: Box 3 fills, store icon
[22-25s] VO: Without those answers, you're one of ten identical pages. | ON-SCREEN: 1 OF 10 IDENTICAL PAGES | VISUAL: Ten matching product cards, nine fade out
[25-27s] VO: Duplicate copy doesn't get you penalised. | ON-SCREEN: NOT PENALISED | VISUAL: Text holds
[27-30s] VO: It makes you invisible. | ON-SCREEN: INVISIBLE | VISUAL: Text fades to transparent
[30-33s] VO: Your knowledge is the description. | ON-SCREEN: COMMENT "MANUFACTURER" | VISUAL: CTA card with name and Permanent SEO
Final 3 s: dark/navy end card with Permanent SEO logo, 'SEO for E-commerce Brands' and 'Comment "MANUFACTURER"'. Burned-in captions. All text spelled exactly as written, sharp and legible on mobile; no extra words, no watermarks.</t>
  </si>
  <si>
    <t xml:space="preserve">MANUFACTURER</t>
  </si>
  <si>
    <t xml:space="preserve">Manufacturer Copy Rewrite SOP (Google Doc)</t>
  </si>
  <si>
    <t xml:space="preserve">We don't copy manufacturer descriptions.
Ten stores, same text. Google filters most of them.
Ask: what does the customer ask, what do you know, why buy from you?
That's your description. #EcommerceSEO</t>
  </si>
  <si>
    <t xml:space="preserve">Duplicate Product Descriptions: Why Manufacturer Copy Fails</t>
  </si>
  <si>
    <t xml:space="preserve">Duplicate product descriptions from manufacturers make your store look like every other retailer. Here are three questions to answer before you publish a product page. #Shorts</t>
  </si>
  <si>
    <t xml:space="preserve">duplicate product descriptions, manufacturer descriptions, ecommerce seo, product page seo, shopify seo, unique product descriptions, duplicate content, woocommerce seo, product copywriting</t>
  </si>
  <si>
    <t xml:space="preserve">Where category page copy goes (and why most stores hide it)</t>
  </si>
  <si>
    <t xml:space="preserve">Your category page has 40 products and zero words Google can use.</t>
  </si>
  <si>
    <t xml:space="preserve">category page seo</t>
  </si>
  <si>
    <t xml:space="preserve">collection page seo, category page content, shopify collection description, ecommerce category copy, category page h1</t>
  </si>
  <si>
    <t xml:space="preserve">Your category page has 40 products and zero words Google can use.
Category pages often target the highest-volume searches in a store.
"Women's running shoes." "Oak dining tables." "Vegan protein powder."
Yet most of them are a heading and a product grid.
The fix isn't a 1,000-word essay stuffed at the bottom.
It's placing the right copy in the right spot.
The layout I use:
→ Above the grid: H1 + 1–2 sentence intro that names the category and who it's for
→ Grid: products, filters, sorting (keep it fast)
→ Below the grid: H2 sections for buying factors (size, material, use case)
→ Then: FAQ block from real customer questions
→ Then: links to sub-categories and related guides
Shoppers see products first. Google gets context. Nobody scrolls past a wall of text to find the shoes.
In this video I walk through the full layout, step by step.
Comment "CATEGORYCOPY" and I'll send you the Category Page Copy Layout Template (Figma + Google Doc).
#EcommerceSEO #CategoryPages #ShopifySEO #OnPageSEO</t>
  </si>
  <si>
    <t xml:space="preserve">#EcommerceSEO #CategoryPages #ShopifySEO #OnPageSEO</t>
  </si>
  <si>
    <t xml:space="preserve">Your category page has 40 products and zero useful words.
Where copy goes:
→ Above grid: H1 + short intro
→ Grid: products first
→ Below grid: H2 buying factors
→ FAQ from real questions
→ Links to sub-categories
Products first. Context second.
Save this for your next collection edit.
Comment "CATEGORYCOPY" for the Category Page Copy Layout Template (Figma + Google Doc).
#ecommerceseo #shopifyseo #onpageseo #seotips #ecommerce #shopifystore #woocommerce #productpages #semanticseo #onlinestore #seostrategy #ecommercetips #collectionpage</t>
  </si>
  <si>
    <t xml:space="preserve">#ecommerceseo #shopifyseo #onpageseo #seotips #ecommerce #shopifystore #woocommerce #productpages #semanticseo #onlinestore #seostrategy #ecommercetips #collectionpage</t>
  </si>
  <si>
    <t xml:space="preserve">Scene 1 [0-8s] VO: Okay. New collection's live. Forty products, great photos... and Google's showing our competitor's page. Again. | VISUAL: Store owner at laptop, sighs; screen shows a collection with H1 and grid only
Scene 2 [8-18s] VO: Let's be honest. Your products aren't the problem. Your category page gives Google almost nothing to understand. A heading. A grid. That's it. | VISUAL: Zoom into page; text-only view reveals 6 words
Scene 3 [18-30s] VO: So you paste a huge block of text at the bottom. Nobody reads it, and it still doesn't answer what shoppers want to know. | VISUAL: Long grey paragraph slides under the footer; scroll bar shrinks
Scene 4 [30-38s] VO: It's time to place copy where it actually works. | VISUAL: Title card: THE CATEGORY COPY LAYOUT
Scene 5 [38-52s] VO: Step one. Above the grid, a clear H1 and one or two sentences that name the category and who it's for. | VISUAL: Wireframe, top block highlights
Scene 6 [52-64s] VO: Step two. Keep the grid fast and first. Filters, sorting, products. | VISUAL: Grid block highlights
Scene 7 [64-80s] VO: Step three. Below the grid, H2 sections for the buying factors: size, material, use case. Then an FAQ block built from real customer questions. | VISUAL: H2 blocks and FAQ accordion animate in
Scene 8 [80-92s] VO: Step four. Link to sub-categories and buying guides, so Google sees how the collection fits your store. | VISUAL: Arrows to sub-category tiles
Scene 9 [92-100s] VO: Result for [Client: UK homeware store]: [CLIENT RESULT: +X% collection clicks in Y months]. | VISUAL: Placeholder chart
Scene 10 [100-110s] VO: Comment CATEGORYCOPY for the layout template. Or book a free e-commerce SEO audit with Permanent SEO. | VISUAL: CTA card, Muhammad Mehrooz Shafique</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</si>
  <si>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Okay. New collection's live. Forty products, great photos... and Google's showing our competitor's page. Again. | VISUAL: Store owner at laptop, sighs; screen shows a collection with H1 and grid only
Scene 2 [8-18s] VO: Let's be honest. Your products aren't the problem. Your category page gives Google almost nothing to understand. A heading. A grid. That's it. | VISUAL: Zoom into page; text-only view reveals 6 words
Scene 3 [18-30s] VO: So you paste a huge block of text at the bottom. Nobody reads it, and it still doesn't answer what shoppers want to know. | VISUAL: Long grey paragraph slides under the footer; scroll bar shrinks
Scene 4 [30-38s] VO: It's time to place copy where it actually works. | VISUAL: Title card: THE CATEGORY COPY LAYOUT
Scene 5 [38-52s] VO: Step one. Above the grid, a clear H1 and one or two sentences that name the category and who it's for. | VISUAL: Wireframe, top block highlights
Scene 6 [52-64s] VO: Step two. Keep the grid fast and first. Filters, sorting, products. | VISUAL: Grid block highlights
Scene 7 [64-80s] VO: Step three. Below the grid, H2 sections for the buying factors: size, material, use case. Then an FAQ block built from real customer questions. | VISUAL: H2 blocks and FAQ accordion animate in
Scene 8 [80-92s] VO: Step four. Link to sub-categories and buying guides, so Google sees how the collection fits your store. | VISUAL: Arrows to sub-category tiles
Scene 9 [92-100s] VO: Result for [Client: UK homeware store]: [CLIENT RESULT: +X% collection clicks in Y months]. | VISUAL: Placeholder chart
Scene 10 [100-110s] VO: Comment CATEGORYCOPY for the layout template. Or book a free e-commerce SEO audit with Permanent SEO. | VISUAL: CTA card, Muhammad Mehrooz Shafique
End card: Permanent SEO logo + 'Comment "CATEGORYCOPY"'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</si>
  <si>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Okay. New collection's live. Forty products, great photos... and Google's showing our competitor's page. Again. | VISUAL: Store owner at laptop, sighs; screen shows a collection with H1 and grid only
Scene 2 [8-18s] VO: Let's be honest. Your products aren't the problem. Your category page gives Google almost nothing to understand. A heading. A grid. That's it. | VISUAL: Zoom into page; text-only view reveals 6 words
Scene 3 [18-30s] VO: So you paste a huge block of text at the bottom. Nobody reads it, and it still doesn't answer what shoppers want to know. | VISUAL: Long grey paragraph slides under the footer; scroll bar shrinks
Scene 4 [30-38s] VO: It's time to place copy where it actually works. | VISUAL: Title card: THE CATEGORY COPY LAYOUT
Scene 5 [38-52s] VO: Step one. Above the grid, a clear H1 and one or two sentences that name the category and who it's for. | VISUAL: Wireframe, top block highlights
Scene 6 [52-64s] VO: Step two. Keep the grid fast and first. Filters, sorting, products. | VISUAL: Grid block highlights
Scene 7 [64-80s] VO: Step three. Below the grid, H2 sections for the buying factors: size, material, use case. Then an FAQ block built from real customer questions. | VISUAL: H2 blocks and FAQ accordion animate in
Scene 8 [80-92s] VO: Step four. Link to sub-categories and buying guides, so Google sees how the collection fits your store. | VISUAL: Arrows to sub-category tiles
Scene 9 [92-100s] VO: Result for [Client: UK homeware store]: [CLIENT RESULT: +X% collection clicks in Y months]. | VISUAL: Placeholder chart
Scene 10 [100-110s] VO: Comment CATEGORYCOPY for the layout template. Or book a free e-commerce SEO audit with Permanent SEO. | VISUAL: CTA card, Muhammad Mehrooz Shafique
Final 3 s: dark/navy end card with Permanent SEO logo, 'SEO for E-commerce Brands' and 'Comment "CATEGORYCOPY"'. Burned-in captions. All text spelled exactly as written, sharp and legible on mobile; no extra words, no watermarks.</t>
  </si>
  <si>
    <t xml:space="preserve">CATEGORYCOPY</t>
  </si>
  <si>
    <t xml:space="preserve">Category Page Copy Layout Template (Figma + Google Doc)</t>
  </si>
  <si>
    <t xml:space="preserve">Category pages target your biggest searches. Most have a heading and a grid.
Layout: H1 + short intro above grid → products → H2 buying factors → FAQ → sub-category links.
#EcommerceSEO #ShopifySEO</t>
  </si>
  <si>
    <t xml:space="preserve">Category Page SEO: Where to Put Copy on E-commerce Collections</t>
  </si>
  <si>
    <t xml:space="preserve">Category page SEO explained for Shopify and WooCommerce stores: where intro copy, H2 buying sections and FAQs belong so shoppers see products first and Google gets context. Muhammad Mehrooz Shafique, Co-Founder of Permanent SEO, walks through the layout step by step.</t>
  </si>
  <si>
    <t xml:space="preserve">category page seo, collection page seo, ecommerce seo, shopify seo, woocommerce seo, category page content, on-page seo, ecommerce category copy, h1 structure, permanent seo</t>
  </si>
  <si>
    <t xml:space="preserve">Case study: rebuilding thin collection pages</t>
  </si>
  <si>
    <t xml:space="preserve">We added copy to [X] collection pages. Here's exactly what changed.</t>
  </si>
  <si>
    <t xml:space="preserve">collection page optimisation</t>
  </si>
  <si>
    <t xml:space="preserve">category page case study, shopify collection seo, ecommerce seo case study, category page rankings</t>
  </si>
  <si>
    <t xml:space="preserve">We added copy to [X] collection pages. Here's exactly what changed.
[Client: UK outdoor clothing store]
The problem: [X] collections with an H1, a grid and nothing else.
Product pages ranked. Category searches went to competitors.
What we did, in this order:
→ Mapped one primary keyword to each collection (no overlap with products)
→ Rewrote H1s to match how people search ("Men's Waterproof Hiking Jackets", not "Storm Range")
→ Added a 2-sentence intro above the grid
→ Added H2 sections below the grid on fit, fabric and weather rating
→ Built FAQ blocks from [X] support emails and reviews
→ Linked each collection to its sub-collections and one buying guide
Results after [Y] months:
→ [CLIENT RESULT: +X% clicks to collection pages]
→ [CLIENT RESULT: +X keywords in top 10]
→ [CLIENT RESULT: +X% organic revenue from collections]
No new backlinks in that period. Only on-page work.
I've turned the full process into a checklist you can use on your own collections.
Comment "COLLECTIONCASE" and I'll send you the Collection Page Rebuild Checklist (PDF).
#EcommerceSEO #CaseStudy #ShopifySEO #CategoryPages</t>
  </si>
  <si>
    <t xml:space="preserve">#EcommerceSEO #CaseStudy #ShopifySEO #CategoryPages</t>
  </si>
  <si>
    <t xml:space="preserve">We added copy to [X] collection pages.
What we did:
→ One keyword per collection
→ Searchable H1s
→ Short intro above the grid
→ H2 buying sections below
→ FAQs from real support emails
Result: [CLIENT RESULT: +X% collection clicks]
No backlinks. Only on-page.
Save this for your own store.
Comment "COLLECTIONCASE" for the Collection Page Rebuild Checklist (PDF).
#ecommerceseo #shopifyseo #onpageseo #seotips #ecommerce #shopifystore #woocommerce #productpages #semanticseo #onlinestore #seostrategy #ecommercetips #seocasestudy</t>
  </si>
  <si>
    <t xml:space="preserve">#ecommerceseo #shopifyseo #onpageseo #seotips #ecommerce #shopifystore #woocommerce #productpages #semanticseo #onlinestore #seostrategy #ecommercetips #seocasestudy</t>
  </si>
  <si>
    <t xml:space="preserve">Single image, case-study result card, 1080x1350 / 1200x1500.
Top label: CASE STUDY · [Client: UK outdoor clothing store]
Headline: THIN COLLECTIONS → RANKING COLLECTIONS
Sub-headline: [Y] months. On-page changes only.
Left panel "BEFORE" (greyed screenshot wireframe): H1 "Storm Range" + product grid, no copy.
Right panel "AFTER" (annotated wireframe) with numbered callouts:
1 H1: "Men's Waterproof Hiking Jackets"
2 2-sentence intro above grid
3 H2: How to choose a waterproof rating
4 H2: Fit guide
5 FAQ block (5 questions from support emails)
6 Links to sub-collections + buying guide
Bottom result row — 3 stat tiles:
[+X%] Collection clicks | [+X] Top-10 keywords | [+X%] Organic revenue
Banner: Comment "COLLECTIONCASE" for the checklist
Footer: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</si>
  <si>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"We added copy to [X] collection pages. Here's exactly what changed."
SUBHEAD: "Case study: rebuilding thin collection pages"
MAIN VISUAL: the layout described below containing exactly: 
Single image, case-study result card, 1080x1350 / 1200x1500.
Top label: CASE STUDY · [Client: UK outdoor clothing store]
Headline: THIN COLLECTIONS → RANKING COLLECTIONS
Sub-headline: [Y] months. On-page changes only.
Left panel "BEFORE" (greyed screenshot wireframe): H1 "Storm Range" + product grid, no copy.
Right panel "AFTER" (annotated wireframe) with numbered callouts:
1 H1: "Men's Waterproof Hiking Jackets"
2 2-sentence intro above grid
3 H2: How to choose a waterproof rating
4 H2: Fit guide
5 FAQ block (5 questions from support emails)
6 Links to sub-collections + buying guide
Bottom result row — 3 stat tiles:
[+X%] Collection clicks | [+X] Top-10 keywords | [+X%] Organic revenue
Banner: Comment "COLLECTIONCASE" for the checklist
Footer: Muhammad Mehrooz Shafique · Permanent SEO
CTA BANNER (bottom, navy rounded box, white text, keyword in blue): Comment "COLLECTIONCASE" for Collection Page Rebuild Checklist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</si>
  <si>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"We added copy to [X] collection pages. Here's exactly what changed."
BODY (numbered points / simple visual): the 3–5 key points from this brief, shortened to max 8 words each:
Single image, case-study result card, 1080x1350 / 1200x1500.
Top label: CASE STUDY · [Client: UK outdoor clothing store]
Headline: THIN COLLECTIONS → RANKING COLLECTIONS
Sub-headline: [Y] months. On-page changes only.
Left panel "BEFORE" (greyed screenshot wireframe): H1 "Storm Range" + product grid, no copy.
Right panel "AFTER" (annotated wireframe) with numbered callouts:
1 H1: "Men's Waterproof Hiking Jackets"
2 2-sentence intro above grid
3 H2: How to choose a waterproof rating
4 H2: Fit guide
5 FAQ block (5 questions from support emails)
6 Links to sub-collections + buying guide
Bottom result row — 3 stat tiles:
[+X%] Collection clicks | [+X] Top-10 keywords | [+X%] Organic revenue
Banner: Comment "COLLECTIONCASE" for the checklist
Footer: Muhammad Mehrooz Shafique · Permanent SEO
BOTTOM BAR: Comment "COLLECTIONCASE" for Collection Page Rebuild Checklist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</si>
  <si>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COLLECTIONCASE</t>
  </si>
  <si>
    <t xml:space="preserve">Collection Page Rebuild Checklist (PDF)</t>
  </si>
  <si>
    <t xml:space="preserve">Case study: [X] thin collection pages, rebuilt.
Searchable H1s. Short intro above grid. H2 buying sections. FAQs from support emails.
[CLIENT RESULT: +X% collection clicks]. No new links. #EcommerceSEO</t>
  </si>
  <si>
    <t xml:space="preserve">Product schema stack: Product, Offer, ratings and merchant listings</t>
  </si>
  <si>
    <t xml:space="preserve">Your product page looks great. Your structured data says almost nothing.</t>
  </si>
  <si>
    <t xml:space="preserve">product schema markup</t>
  </si>
  <si>
    <t xml:space="preserve">product structured data, merchant listing schema, offer schema, aggregaterating schema, shopify schema</t>
  </si>
  <si>
    <t xml:space="preserve">Your product page looks great. Your structured data says almost nothing.
Many themes output a basic Product block and stop there.
No price validity. No shipping. No return policy. Sometimes ratings that don't match the page.
Google documents two related result types for products:
→ Product snippets (review stars, price, availability in regular results)
→ Merchant listings (richer shopping experiences, for pages where people can buy)
The stack I check on every store:
→ Product: name, image, description, brand, sku, gtin where you have it
→ Offer: price, priceCurrency, availability, url
→ AggregateRating + Review: only if reviews are visible on the page
→ Shipping and return details (in structured data or Merchant Center)
→ One clean Product per page, variants handled consistently
Two rules:
1. Structured data must match what's visible on the page.
2. Validate with Google's Rich Results Test, then watch the reports in Search Console.
The carousel walks through every property with an example.
Comment "PRODUCTSCHEMA" and I'll send you the Product Schema Property Checklist + JSON-LD Template.
#EcommerceSEO #StructuredData #TechnicalSEO #ShopifySEO</t>
  </si>
  <si>
    <t xml:space="preserve">#EcommerceSEO #StructuredData #TechnicalSEO #ShopifySEO</t>
  </si>
  <si>
    <t xml:space="preserve">Your product schema is probably half empty.
The stack:
→ Product: name, image, brand, sku, gtin
→ Offer: price, currency, availability
→ AggregateRating: only if reviews are visible
→ Shipping + returns
Match the page. Test it. Monitor it in Search Console.
Save this for your developer.
Comment "PRODUCTSCHEMA" for the Product Schema Property Checklist + JSON-LD Template.
#ecommerceseo #shopifyseo #onpageseo #seotips #ecommerce #shopifystore #woocommerce #productpages #semanticseo #onlinestore #seostrategy #ecommercetips #schemamarkup #structureddata</t>
  </si>
  <si>
    <t xml:space="preserve">#ecommerceseo #shopifyseo #onpageseo #seotips #ecommerce #shopifystore #woocommerce #productpages #semanticseo #onlinestore #seostrategy #ecommercetips #schemamarkup #structureddata</t>
  </si>
  <si>
    <t xml:space="preserve">Slide 1: Your product page looks great | Your structured data says almost nothing
Slide 2: Two result types Google documents | Product snippets vs merchant listings
Slide 3: Layer 1 — Product | name, image, description, brand, sku, gtin/mpn where available
Slide 4: Layer 2 — Offer | price, priceCurrency, availability, url, priceValidUntil for sales
Slide 5: Layer 3 — AggregateRating + Review | Only when reviews are visible on the page
Slide 6: Layer 4 — Shipping &amp; returns | shippingDetails and hasMerchantReturnPolicy, or set in Merchant Center
Slide 7: Variants | One consistent approach: ProductGroup with variants, or one Product per variant URL
Slide 8: ❌ Common mistakes | Ratings not on page, price mismatch, duplicate Product blocks from theme + app
Slide 9: Test &amp; monitor | Rich Results Test → Search Console Product snippets &amp; Merchant listings reports
Slide 10: Comment "PRODUCTSCHEMA" for the checklist + JSON-LD template | Follow Muhammad Mehrooz Shafique</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</si>
  <si>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Your product page looks great | Your structured data says almost nothing
Slide 2: Two result types Google documents | Product snippets vs merchant listings
Slide 3: Layer 1 — Product | name, image, description, brand, sku, gtin/mpn where available
Slide 4: Layer 2 — Offer | price, priceCurrency, availability, url, priceValidUntil for sales
Slide 5: Layer 3 — AggregateRating + Review | Only when reviews are visible on the page
Slide 6: Layer 4 — Shipping &amp; returns | shippingDetails and hasMerchantReturnPolicy, or set in Merchant Center
Slide 7: Variants | One consistent approach: ProductGroup with variants, or one Product per variant URL
Slide 8: ❌ Common mistakes | Ratings not on page, price mismatch, duplicate Product blocks from theme + app
Slide 9: Test &amp; monitor | Rich Results Test → Search Console Product snippets &amp; Merchant listings reports
Slide 10: Comment "PRODUCTSCHEMA" for the checklist + JSON-LD template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</si>
  <si>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Your product page looks great | Your structured data says almost nothing
Slide 2: Two result types Google documents | Product snippets vs merchant listings
Slide 3: Layer 1 — Product | name, image, description, brand, sku, gtin/mpn where available
Slide 4: Layer 2 — Offer | price, priceCurrency, availability, url, priceValidUntil for sales
Slide 5: Layer 3 — AggregateRating + Review | Only when reviews are visible on the page
Slide 6: Layer 4 — Shipping &amp; returns | shippingDetails and hasMerchantReturnPolicy, or set in Merchant Center
Slide 7: Variants | One consistent approach: ProductGroup with variants, or one Product per variant URL
Slide 8: ❌ Common mistakes | Ratings not on page, price mismatch, duplicate Product blocks from theme + app
Slide 9: Test &amp; monitor | Rich Results Test → Search Console Product snippets &amp; Merchant listings reports
Slide 10: Comment "PRODUCTSCHEMA" for the checklist + JSON-LD template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</si>
  <si>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PRODUCTSCHEMA</t>
  </si>
  <si>
    <t xml:space="preserve">Product Schema Property Checklist + JSON-LD Template</t>
  </si>
  <si>
    <t xml:space="preserve">Your product page looks great. Your structured data says almost nothing.
Here's the product schema stack I check on every store
---
Layer 1: Product
name, image, description, brand, sku, gtin where you have it.
This tells Google exactly what the item is.
---
Layer 2: Offer
price, priceCurrency, availability, url.
Must match the visible price. Mismatches are one of the most common errors I find.
---
Layer 3: AggregateRating + Review
Only mark up reviews that shoppers can actually see on the page.
---
Layer 4: Shipping and returns.
Add via structured data or Merchant Center. Many stores skip this.
---
Check for duplicate Product blocks. Theme + review app often both output one.
Test → Rich Results Test. Monitor → Search Console. #StructuredData #EcommerceSEO</t>
  </si>
  <si>
    <t xml:space="preserve">Checklist I use to audit Product structured data on e-commerce sites</t>
  </si>
  <si>
    <t xml:space="preserve">Sharing the order I check product structured data in, since most audits I see stop at "schema present: yes".
1. Count the Product blocks. Theme plus a review app often output two, with different ratings.
2. Product properties: name, image, description, brand, sku, and gtin/mpn where the store has them.
3. Offer: price, priceCurrency, availability, url. Compare the price against the rendered page, especially on sale items and multi-currency setups.
4. AggregateRating/Review: only if the reviews are visible on that URL. Ratings pulled from a different page are a red flag.
5. Shipping and returns: shippingDetails and hasMerchantReturnPolicy, or configured in Merchant Center.
6. Variants: decide on one approach (ProductGroup with hasVariant, or separate URLs) and keep it consistent.
7. Validate in the Rich Results Test, then check the Product snippets and Merchant listings reports in Search Console after recrawl.
The most common issue I find is the price mismatch in point 3.
What's the most common product schema error you run into on Shopify or WooCommerce?</t>
  </si>
  <si>
    <t xml:space="preserve">H1/H2 heading map for a semantic category page</t>
  </si>
  <si>
    <t xml:space="preserve">Your category page headings should read like a buying guide outline.</t>
  </si>
  <si>
    <t xml:space="preserve">category page heading structure</t>
  </si>
  <si>
    <t xml:space="preserve">h1 h2 structure ecommerce, collection page headings, semantic headings, heading hierarchy seo</t>
  </si>
  <si>
    <t xml:space="preserve">Your category page headings should read like a buying guide outline.
Open any collection and pull out only the headings.
On most stores you get: "Shop All". "Featured". "Newsletter".
That tells Google nothing about the category.
A semantic heading map does three things:
→ The H1 names the category in searcher language
→ The H2s cover the questions people ask before buying
→ The H3s break each question into specific attributes
Example for "Oak Dining Tables":
H1: Oak Dining Tables
H2: Solid oak vs oak veneer
H2: What size dining table do you need?
H3: Tables for 4 / for 6 / for 8+
H2: Round vs rectangular tables
H2: How to care for an oak table
H2: Oak dining table FAQs
Read the headings alone. If they make sense as a mini guide, the page is structured well.
Theme sections like "Featured" or "Newsletter" shouldn't be headings at all. Change them to styled text.
Comment "HEADINGMAP" and I'll send you the Category Page Heading Map Template (Google Doc).
#EcommerceSEO #OnPageSEO #SemanticSEO #CategoryPages</t>
  </si>
  <si>
    <t xml:space="preserve">#EcommerceSEO #OnPageSEO #SemanticSEO #CategoryPages</t>
  </si>
  <si>
    <t xml:space="preserve">Read only the headings on your category page.
Do they make sense?
Good map:
H1: Oak Dining Tables
H2: Solid oak vs veneer
H2: What size do you need?
H2: Round vs rectangular
H2: Care guide
H2: FAQs
Not "Featured" and "Newsletter".
Save this for your next collection.
Comment "HEADINGMAP" for the Category Page Heading Map Template (Google Doc).
#ecommerceseo #shopifyseo #onpageseo #seotips #ecommerce #shopifystore #woocommerce #productpages #semanticseo #onlinestore #seostrategy #ecommercetips #headings</t>
  </si>
  <si>
    <t xml:space="preserve">#ecommerceseo #shopifyseo #onpageseo #seotips #ecommerce #shopifystore #woocommerce #productpages #semanticseo #onlinestore #seostrategy #ecommercetips #headings</t>
  </si>
  <si>
    <t xml:space="preserve">Single image, framework diagram, 1080x1350 / 1200x1500.
Headline: THE CATEGORY PAGE HEADING MAP
Sub-headline: Read the headings alone. They should work as a buying guide.
Left column "❌ TYPICAL THEME" (stacked grey tags): H1 Shop All · H2 Featured · H2 Best Sellers · H2 Newsletter · H3 Follow Us
Right column "✅ SEMANTIC MAP" (tree diagram, indented with connector lines):
H1 Oak Dining Tables
— H2 Solid oak vs oak veneer
— H2 What size dining table do you need?
—— H3 Tables for 4
—— H3 Tables for 6
—— H3 Tables for 8+
— H2 Round vs rectangular tables
— H2 How to care for an oak table
— H2 Oak dining table FAQs
Side note box: Theme labels like "Newsletter" → styled text, not headings.
Footer: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</si>
  <si>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"Your category page headings should read like a buying guide outline."
SUBHEAD: "H1/H2 heading map for a semantic category page"
MAIN VISUAL: the layout described below containing exactly: 
Single image, framework diagram, 1080x1350 / 1200x1500.
Headline: THE CATEGORY PAGE HEADING MAP
Sub-headline: Read the headings alone. They should work as a buying guide.
Left column "❌ TYPICAL THEME" (stacked grey tags): H1 Shop All · H2 Featured · H2 Best Sellers · H2 Newsletter · H3 Follow Us
Right column "✅ SEMANTIC MAP" (tree diagram, indented with connector lines):
H1 Oak Dining Tables
— H2 Solid oak vs oak veneer
— H2 What size dining table do you need?
—— H3 Tables for 4
—— H3 Tables for 6
—— H3 Tables for 8+
— H2 Round vs rectangular tables
— H2 How to care for an oak table
— H2 Oak dining table FAQs
Side note box: Theme labels like "Newsletter" → styled text, not headings.
Footer: Muhammad Mehrooz Shafique · Permanent SEO
CTA BANNER (bottom, navy rounded box, white text, keyword in blue): Comment "HEADINGMAP" for Category Page Heading Map Template (Google Doc)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</si>
  <si>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"Your category page headings should read like a buying guide outline."
BODY (numbered points / simple visual): the 3–5 key points from this brief, shortened to max 8 words each:
Single image, framework diagram, 1080x1350 / 1200x1500.
Headline: THE CATEGORY PAGE HEADING MAP
Sub-headline: Read the headings alone. They should work as a buying guide.
Left column "❌ TYPICAL THEME" (stacked grey tags): H1 Shop All · H2 Featured · H2 Best Sellers · H2 Newsletter · H3 Follow Us
Right column "✅ SEMANTIC MAP" (tree diagram, indented with connector lines):
H1 Oak Dining Tables
— H2 Solid oak vs oak veneer
— H2 What size dining table do you need?
—— H3 Tables for 4
—— H3 Tables for 6
—— H3 Tables for 8+
— H2 Round vs rectangular tables
— H2 How to care for an oak table
— H2 Oak dining table FAQs
Side note box: Theme labels like "Newsletter" → styled text, not headings.
Footer: Muhammad Mehrooz Shafique · Permanent SEO
BOTTOM BAR: Comment "HEADINGMAP" for Category Page Heading Map Template (Google Doc)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</si>
  <si>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HEADINGMAP</t>
  </si>
  <si>
    <t xml:space="preserve">Category Page Heading Map Template (Google Doc)</t>
  </si>
  <si>
    <t xml:space="preserve">Read only the headings on your category page.
If you see "Featured" and "Newsletter", Google sees nothing useful.
H1 = category. H2 = buying questions. H3 = attributes. #OnPageSEO #EcommerceSEO</t>
  </si>
  <si>
    <t xml:space="preserve">Myth: alt text is a place for keywords</t>
  </si>
  <si>
    <t xml:space="preserve">We don't stuff keywords in alt text. We describe the product.</t>
  </si>
  <si>
    <t xml:space="preserve">product image alt text</t>
  </si>
  <si>
    <t xml:space="preserve">alt text for ecommerce, image seo shopify, product image seo, how to write alt text</t>
  </si>
  <si>
    <t xml:space="preserve">We don't stuff keywords in alt text.
"Best cheap leather bag leather handbag women UK" helps no one.
Not the shopper using a screen reader. Not Google.
Alt text describes the image. For product photos, that means three things:
→ What product is shown?
→ Which variant? (colour, material, size)
→ What angle or detail does this photo show?
Example:
"Tan leather crossbody bag with brass buckle, side view showing adjustable strap"
That's accurate, useful and naturally full of the right words.
Each product image is different, so each alt text should be different.
Six photos with the same alt text is a missed chance.
Write it for the person who can't see the photo. That's usually what works for search too.
Comment "ALTTEXT" and I'll send you the Product Image Alt Text Formula + 30 Examples (PDF).
#EcommerceSEO #ImageSEO #Accessibility #ShopifySEO</t>
  </si>
  <si>
    <t xml:space="preserve">#EcommerceSEO #ImageSEO #Accessibility #ShopifySEO</t>
  </si>
  <si>
    <t xml:space="preserve">We don't stuff keywords in alt text.
We describe the photo:
→ What product?
→ Which variant?
→ Which angle or detail?
"Tan leather crossbody bag, side view showing adjustable strap"
Every image different. Every alt text different.
Share this with your content team.
Comment "ALTTEXT" for the Product Image Alt Text Formula + 30 Examples (PDF).
#ecommerceseo #shopifyseo #onpageseo #seotips #ecommerce #shopifystore #woocommerce #productpages #semanticseo #onlinestore #seostrategy #ecommercetips #alttext #imageseo</t>
  </si>
  <si>
    <t xml:space="preserve">#ecommerceseo #shopifyseo #onpageseo #seotips #ecommerce #shopifystore #woocommerce #productpages #semanticseo #onlinestore #seostrategy #ecommercetips #alttext #imageseo</t>
  </si>
  <si>
    <t xml:space="preserve">[0-2s] VO: We don't stuff keywords in alt text. | ON-SCREEN: NO KEYWORD STUFFING | VISUAL: Long stuffed alt text string types out, then gets struck through
[2-4s] VO: We describe the product. | ON-SCREEN: WE DESCRIBE | VISUAL: Clean product photo of a tan leather bag
[4-7s] VO: Most stores do one of three things. | ON-SCREEN: MOST STORES | VISUAL: Three tiles appear
[7-8s] VO: Blank. | ON-SCREEN: BLANK | VISUAL: Empty alt field
[8-9s] VO: Filename. | ON-SCREEN: IMG_4821.JPG | VISUAL: Filename text
[9-10s] VO: Keywords. | ON-SCREEN: KEYWORDS | VISUAL: Pile of repeated words
[10-13s] VO: But good alt text answers three things. | ON-SCREEN: 3 THINGS | VISUAL: Three numbered dots
[13-16s] VO: What product is this? | ON-SCREEN: WHAT PRODUCT? | VISUAL: Label "Leather crossbody bag"
[16-19s] VO: Which variant? | ON-SCREEN: WHICH VARIANT? | VISUAL: Label "Tan, brass buckle"
[19-22s] VO: And which angle or detail? | ON-SCREEN: WHICH ANGLE? | VISUAL: Label "Side view, adjustable strap"
[22-25s] VO: Without that, the image is invisible to some shoppers. | ON-SCREEN: INVISIBLE TO SOME | VISUAL: Screen reader icon, silence wave
[25-28s] VO: Keywords don't describe. | ON-SCREEN: KEYWORDS DON'T DESCRIBE | VISUAL: Text holds
[28-31s] VO: Descriptions do the work. | ON-SCREEN: DESCRIPTIONS DO | VISUAL: Final alt text fades in under photo
[31-34s] VO: Write for the person who can't see it. | ON-SCREEN: COMMENT "ALTTEXT" | VISUAL: CTA card, Muhammad Mehrooz Shafique ·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</si>
  <si>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stuff keywords in alt text. | ON-SCREEN: NO KEYWORD STUFFING | VISUAL: Long stuffed alt text string types out, then gets struck through
[2-4s] VO: We describe the product. | ON-SCREEN: WE DESCRIBE | VISUAL: Clean product photo of a tan leather bag
[4-7s] VO: Most stores do one of three things. | ON-SCREEN: MOST STORES | VISUAL: Three tiles appear
[7-8s] VO: Blank. | ON-SCREEN: BLANK | VISUAL: Empty alt field
[8-9s] VO: Filename. | ON-SCREEN: IMG_4821.JPG | VISUAL: Filename text
[9-10s] VO: Keywords. | ON-SCREEN: KEYWORDS | VISUAL: Pile of repeated words
[10-13s] VO: But good alt text answers three things. | ON-SCREEN: 3 THINGS | VISUAL: Three numbered dots
[13-16s] VO: What product is this? | ON-SCREEN: WHAT PRODUCT? | VISUAL: Label "Leather crossbody bag"
[16-19s] VO: Which variant? | ON-SCREEN: WHICH VARIANT? | VISUAL: Label "Tan, brass buckle"
[19-22s] VO: And which angle or detail? | ON-SCREEN: WHICH ANGLE? | VISUAL: Label "Side view, adjustable strap"
[22-25s] VO: Without that, the image is invisible to some shoppers. | ON-SCREEN: INVISIBLE TO SOME | VISUAL: Screen reader icon, silence wave
[25-28s] VO: Keywords don't describe. | ON-SCREEN: KEYWORDS DON'T DESCRIBE | VISUAL: Text holds
[28-31s] VO: Descriptions do the work. | ON-SCREEN: DESCRIPTIONS DO | VISUAL: Final alt text fades in under photo
[31-34s] VO: Write for the person who can't see it. | ON-SCREEN: COMMENT "ALTTEXT" | VISUAL: CTA card, Muhammad Mehrooz Shafique · Permanent SEO
Final 3 s: dark/navy end card with Permanent SEO logo, 'SEO for E-commerce Brands' and 'Comment "ALTTEXT"'. Burned-in captions. All text spelled exactly as written, sharp and legible on mobile; no extra words, no watermarks.</t>
  </si>
  <si>
    <t xml:space="preserve">ALTTEXT</t>
  </si>
  <si>
    <t xml:space="preserve">Product Image Alt Text Formula + 30 Examples (PDF)</t>
  </si>
  <si>
    <t xml:space="preserve">We don't stuff keywords in alt text.
Product alt text = what product + which variant + which angle.
"Tan leather crossbody bag, side view showing adjustable strap." #ImageSEO</t>
  </si>
  <si>
    <t xml:space="preserve">Product Image Alt Text: Stop Stuffing Keywords</t>
  </si>
  <si>
    <t xml:space="preserve">Product image alt text should describe the product, the variant and the angle, not repeat keywords. A simple formula for Shopify and WooCommerce stores. #Shorts</t>
  </si>
  <si>
    <t xml:space="preserve">product image alt text, alt text seo, image seo, ecommerce seo, shopify seo, accessibility, woocommerce seo, product photos, alt text examples</t>
  </si>
  <si>
    <t xml:space="preserve">Keyword mapping to stop products and collections competing</t>
  </si>
  <si>
    <t xml:space="preserve">Your product page and collection page are fighting for the same keyword.</t>
  </si>
  <si>
    <t xml:space="preserve">keyword cannibalization ecommerce</t>
  </si>
  <si>
    <t xml:space="preserve">keyword mapping ecommerce, product vs category keywords, shopify keyword cannibalisation, search intent mapping</t>
  </si>
  <si>
    <t xml:space="preserve">Your product page and collection page are fighting for the same keyword.
You see it in Search Console:
One query. Two or three of your URLs swapping positions.
Neither one settles on page one.
This happens because nobody decided which page owns which search.
The rule I use:
→ Broad, plural, "browse" searches → collection page ("waterproof hiking boots")
→ Specific, singular, model searches → product page ("[Brand] Ridge GTX hiking boot")
→ "How to" and "best X for Y" questions → blog or guide, linking to both
How we map it:
→ Export queries and pages from Search Console
→ Flag queries where 2+ URLs get impressions
→ Assign one owner URL per query cluster
→ Adjust titles, H1s and internal links so the owner is obvious
→ Merge or redirect true duplicates
One intent. One URL. Everything else supports it.
The full walkthrough is in the video.
Comment "KEYMAP" and I'll send you the E-commerce Keyword Map Template (Google Sheet).
#EcommerceSEO #KeywordResearch #ShopifySEO #SEOStrategy</t>
  </si>
  <si>
    <t xml:space="preserve">#EcommerceSEO #KeywordResearch #ShopifySEO #SEOStrategy</t>
  </si>
  <si>
    <t xml:space="preserve">Your product and collection pages are competing.
Fix:
→ Broad plural searches → collection
→ Specific model searches → product
→ How-to / best-for → blog
→ One owner URL per keyword
→ Titles, H1s and links point to the owner
One intent. One URL.
Save this before your next keyword review.
Comment "KEYMAP" for the E-commerce Keyword Map Template (Google Sheet).
#ecommerceseo #shopifyseo #onpageseo #seotips #ecommerce #shopifystore #woocommerce #productpages #semanticseo #onlinestore #seostrategy #ecommercetips #keywordresearch</t>
  </si>
  <si>
    <t xml:space="preserve">#ecommerceseo #shopifyseo #onpageseo #seotips #ecommerce #shopifystore #woocommerce #productpages #semanticseo #onlinestore #seostrategy #ecommercetips #keywordresearch</t>
  </si>
  <si>
    <t xml:space="preserve">Scene 1 [0-8s] VO: Hmm. Yesterday our boots collection was position eight. Today it's the product page at fourteen. Which one is it, Google? | VISUAL: Owner refreshing Search Console; two URLs flicker on one query
Scene 2 [8-18s] VO: Let's be honest. You don't have a ranking problem. You have two pages asking Google for the same job. | VISUAL: Two page cards pulling a rope labelled "hiking boots"
Scene 3 [18-28s] VO: So you write more content. Another blog post on hiking boots. Now three pages are competing. | VISUAL: Third card joins the rope
Scene 4 [28-34s] VO: It's time to give every keyword one owner. | VISUAL: Title card: ONE INTENT. ONE URL.
Scene 5 [34-48s] VO: Step one. Export queries and pages from Search Console and flag every query where two or more of your URLs get impressions. | VISUAL: Spreadsheet, rows highlighted red
Scene 6 [48-62s] VO: Step two. Assign owners. Broad plural searches go to the collection. Specific model searches go to the product. How-to questions go to the blog. | VISUAL: Three columns sorting keywords
Scene 7 [62-76s] VO: Step three. Make the owner obvious. Titles, H1s and internal links all point to the one page that owns the query. | VISUAL: Arrows converge on the collection page
Scene 8 [76-86s] VO: Step four. Merge or redirect true duplicates. | VISUAL: Two pages merge, 301 tag
Scene 9 [86-94s] VO: For [Client: US outdoor gear store]: [CLIENT RESULT: X cannibalised queries fixed, +X% clicks]. | VISUAL: Placeholder chart
Scene 10 [94-104s] VO: Comment KEYMAP for the template. Or book a free e-commerce SEO audit with Permanent SEO. | VISUAL: CTA card, Muhammad Mehrooz Shafique</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</si>
  <si>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Hmm. Yesterday our boots collection was position eight. Today it's the product page at fourteen. Which one is it, Google? | VISUAL: Owner refreshing Search Console; two URLs flicker on one query
Scene 2 [8-18s] VO: Let's be honest. You don't have a ranking problem. You have two pages asking Google for the same job. | VISUAL: Two page cards pulling a rope labelled "hiking boots"
Scene 3 [18-28s] VO: So you write more content. Another blog post on hiking boots. Now three pages are competing. | VISUAL: Third card joins the rope
Scene 4 [28-34s] VO: It's time to give every keyword one owner. | VISUAL: Title card: ONE INTENT. ONE URL.
Scene 5 [34-48s] VO: Step one. Export queries and pages from Search Console and flag every query where two or more of your URLs get impressions. | VISUAL: Spreadsheet, rows highlighted red
Scene 6 [48-62s] VO: Step two. Assign owners. Broad plural searches go to the collection. Specific model searches go to the product. How-to questions go to the blog. | VISUAL: Three columns sorting keywords
Scene 7 [62-76s] VO: Step three. Make the owner obvious. Titles, H1s and internal links all point to the one page that owns the query. | VISUAL: Arrows converge on the collection page
Scene 8 [76-86s] VO: Step four. Merge or redirect true duplicates. | VISUAL: Two pages merge, 301 tag
Scene 9 [86-94s] VO: For [Client: US outdoor gear store]: [CLIENT RESULT: X cannibalised queries fixed, +X% clicks]. | VISUAL: Placeholder chart
Scene 10 [94-104s] VO: Comment KEYMAP for the template. Or book a free e-commerce SEO audit with Permanent SEO. | VISUAL: CTA card, Muhammad Mehrooz Shafique
End card: Permanent SEO logo + 'Comment "KEYMAP"'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</si>
  <si>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Hmm. Yesterday our boots collection was position eight. Today it's the product page at fourteen. Which one is it, Google? | VISUAL: Owner refreshing Search Console; two URLs flicker on one query
Scene 2 [8-18s] VO: Let's be honest. You don't have a ranking problem. You have two pages asking Google for the same job. | VISUAL: Two page cards pulling a rope labelled "hiking boots"
Scene 3 [18-28s] VO: So you write more content. Another blog post on hiking boots. Now three pages are competing. | VISUAL: Third card joins the rope
Scene 4 [28-34s] VO: It's time to give every keyword one owner. | VISUAL: Title card: ONE INTENT. ONE URL.
Scene 5 [34-48s] VO: Step one. Export queries and pages from Search Console and flag every query where two or more of your URLs get impressions. | VISUAL: Spreadsheet, rows highlighted red
Scene 6 [48-62s] VO: Step two. Assign owners. Broad plural searches go to the collection. Specific model searches go to the product. How-to questions go to the blog. | VISUAL: Three columns sorting keywords
Scene 7 [62-76s] VO: Step three. Make the owner obvious. Titles, H1s and internal links all point to the one page that owns the query. | VISUAL: Arrows converge on the collection page
Scene 8 [76-86s] VO: Step four. Merge or redirect true duplicates. | VISUAL: Two pages merge, 301 tag
Scene 9 [86-94s] VO: For [Client: US outdoor gear store]: [CLIENT RESULT: X cannibalised queries fixed, +X% clicks]. | VISUAL: Placeholder chart
Scene 10 [94-104s] VO: Comment KEYMAP for the template. Or book a free e-commerce SEO audit with Permanent SEO. | VISUAL: CTA card, Muhammad Mehrooz Shafique
Final 3 s: dark/navy end card with Permanent SEO logo, 'SEO for E-commerce Brands' and 'Comment "KEYMAP"'. Burned-in captions. All text spelled exactly as written, sharp and legible on mobile; no extra words, no watermarks.</t>
  </si>
  <si>
    <t xml:space="preserve">KEYMAP</t>
  </si>
  <si>
    <t xml:space="preserve">E-commerce Keyword Map Template (Google Sheet)</t>
  </si>
  <si>
    <t xml:space="preserve">Product page and collection page fighting for one keyword?
Broad plural → collection. Specific model → product. How-to → blog.
One intent. One URL. #EcommerceSEO #KeywordResearch</t>
  </si>
  <si>
    <t xml:space="preserve">Keyword Cannibalization in E-commerce: Products vs Collections</t>
  </si>
  <si>
    <t xml:space="preserve">Keyword cannibalization happens when product, collection and blog pages compete for the same search. Muhammad Mehrooz Shafique of Permanent SEO shows how to map one intent to one URL using Search Console data.</t>
  </si>
  <si>
    <t xml:space="preserve">keyword cannibalization, keyword mapping, ecommerce seo, shopify seo, collection page seo, product page seo, search intent, google search console, woocommerce seo, permanent seo</t>
  </si>
  <si>
    <t xml:space="preserve">Case study: replacing manufacturer copy on top SKUs</t>
  </si>
  <si>
    <t xml:space="preserve">We rewrote [X] product descriptions. Only the top sellers. Here's why.</t>
  </si>
  <si>
    <t xml:space="preserve">unique product descriptions</t>
  </si>
  <si>
    <t xml:space="preserve">rewrite product descriptions, manufacturer content seo, product page case study, ecommerce content refresh</t>
  </si>
  <si>
    <t xml:space="preserve">We rewrote [X] product descriptions. Only the top sellers. Here's why.
[Client: UK kitchenware retailer]
[X] SKUs. Almost all using the supplier's description, word for word.
The same text appeared on many other retailers' sites.
Rewriting everything wasn't realistic. So we prioritised.
The process:
→ Ranked products by revenue and impressions in [YOUR GSC DATA]
→ Picked the top [X] where we had impressions but low clicks
→ Pulled real questions from reviews, returns notes and support emails
→ Rewrote each description around attributes: material, capacity, hob compatibility, care
→ Added a short "Who it's for / not for" section
→ Kept manufacturer specs, but in a clean table, not paragraphs
Results after [Y] months:
→ [CLIENT RESULT: +X% clicks to rewritten products]
→ [CLIENT RESULT: +X% conversion rate on rewritten pages]
→ [CLIENT RESULT: fewer "does it work on induction?" support emails]
Original content on the right 10% of the catalogue beats average content on all of it.
Comment "SKUREWRITE" and I'll send you the SKU Rewrite Prioritisation Sheet (Google Sheet).
#EcommerceSEO #CaseStudy #ProductPages #ContentStrategy</t>
  </si>
  <si>
    <t xml:space="preserve">#EcommerceSEO #CaseStudy #ProductPages #ContentStrategy</t>
  </si>
  <si>
    <t xml:space="preserve">We rewrote [X] product descriptions.
Only the top sellers.
→ Ranked by revenue + impressions
→ Questions from reviews and returns
→ Rewrote around real attributes
→ Added "who it's for / not for"
→ Specs in a clean table
Result: [CLIENT RESULT: +X% clicks]
Save this before you rewrite everything.
Comment "SKUREWRITE" for the SKU Rewrite Prioritisation Sheet (Google Sheet).
#ecommerceseo #shopifyseo #onpageseo #seotips #ecommerce #shopifystore #woocommerce #productpages #semanticseo #onlinestore #seostrategy #ecommercetips #seocasestudy</t>
  </si>
  <si>
    <t xml:space="preserve">Single image, before/after product description card, 1080x1350 / 1200x1500.
Top label: CASE STUDY · [Client: UK kitchenware retailer]
Headline: SUPPLIER COPY → ORIGINAL COPY
Sub-headline: Top [X] SKUs only. [Y] months.
Left card "BEFORE — supplier text": grey paragraph "This high-quality pan is perfect for all your cooking needs..." with a small badge "Found on many other retailer sites".
Right card "AFTER — rewritten" with labelled blocks:
1 Material: tri-ply stainless steel
2 Capacity: 28cm, 3.2L
3 Hob compatibility: gas, electric, induction
4 Care: dishwasher safe
5 Who it's for / not for
6 Specs table
Bottom: 3 stat tiles — [+X%] Clicks | [+X%] Conversion rate | [−X] Support emails
Banner: Comment "SKUREWRITE" for the prioritisation sheet
Footer: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</si>
  <si>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"We rewrote [X] product descriptions. Only the top sellers. Here's why."
SUBHEAD: "Case study: replacing manufacturer copy on top SKUs"
MAIN VISUAL: the layout described below containing exactly: 
Single image, before/after product description card, 1080x1350 / 1200x1500.
Top label: CASE STUDY · [Client: UK kitchenware retailer]
Headline: SUPPLIER COPY → ORIGINAL COPY
Sub-headline: Top [X] SKUs only. [Y] months.
Left card "BEFORE — supplier text": grey paragraph "This high-quality pan is perfect for all your cooking needs..." with a small badge "Found on many other retailer sites".
Right card "AFTER — rewritten" with labelled blocks:
1 Material: tri-ply stainless steel
2 Capacity: 28cm, 3.2L
3 Hob compatibility: gas, electric, induction
4 Care: dishwasher safe
5 Who it's for / not for
6 Specs table
Bottom: 3 stat tiles — [+X%] Clicks | [+X%] Conversion rate | [−X] Support emails
Banner: Comment "SKUREWRITE" for the prioritisation sheet
Footer: Muhammad Mehrooz Shafique · Permanent SEO
CTA BANNER (bottom, navy rounded box, white text, keyword in blue): Comment "SKUREWRITE" for SKU Rewrite Prioritisation Sheet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</si>
  <si>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"We rewrote [X] product descriptions. Only the top sellers. Here's why."
BODY (numbered points / simple visual): the 3–5 key points from this brief, shortened to max 8 words each:
Single image, before/after product description card, 1080x1350 / 1200x1500.
Top label: CASE STUDY · [Client: UK kitchenware retailer]
Headline: SUPPLIER COPY → ORIGINAL COPY
Sub-headline: Top [X] SKUs only. [Y] months.
Left card "BEFORE — supplier text": grey paragraph "This high-quality pan is perfect for all your cooking needs..." with a small badge "Found on many other retailer sites".
Right card "AFTER — rewritten" with labelled blocks:
1 Material: tri-ply stainless steel
2 Capacity: 28cm, 3.2L
3 Hob compatibility: gas, electric, induction
4 Care: dishwasher safe
5 Who it's for / not for
6 Specs table
Bottom: 3 stat tiles — [+X%] Clicks | [+X%] Conversion rate | [−X] Support emails
Banner: Comment "SKUREWRITE" for the prioritisation sheet
Footer: Muhammad Mehrooz Shafique · Permanent SEO
BOTTOM BAR: Comment "SKUREWRITE" for SKU Rewrite Prioritisation Sheet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</si>
  <si>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SKUREWRITE</t>
  </si>
  <si>
    <t xml:space="preserve">SKU Rewrite Prioritisation Sheet (Google Sheet)</t>
  </si>
  <si>
    <t xml:space="preserve">We didn't rewrite [X] thousand SKUs. Only the top [X].
Real questions from reviews + returns. Attributes first. Specs in a table.
[CLIENT RESULT: +X% clicks]. #EcommerceSEO</t>
  </si>
  <si>
    <t xml:space="preserve">Building FAQ blocks from real customer questions</t>
  </si>
  <si>
    <t xml:space="preserve">Your FAQ block answers questions nobody asked. Here's where real ones are.</t>
  </si>
  <si>
    <t xml:space="preserve">product page faq</t>
  </si>
  <si>
    <t xml:space="preserve">ecommerce faq seo, category page faq, customer questions seo, faq content for shopify, people also ask ecommerce</t>
  </si>
  <si>
    <t xml:space="preserve">Your FAQ block answers questions nobody asked.
"What is your return policy?" on every product page isn't an FAQ.
It's a footer link.
Good FAQ blocks on product and category pages answer the questions that stop people buying.
They also help Google and AI assistants match your page to longer, specific searches.
Where I find real questions:
→ Support emails and live chat transcripts
→ Product reviews and Q&amp;A sections
→ Returns reasons
→ Your site search log
→ People Also Ask and AI Overviews for your category
→ Reddit and forum threads about the product type
How I write them:
→ Use the customer's wording in the question
→ Answer in the first sentence, then add detail
→ 4–6 questions per page, specific to that page
→ Keep them visible on the page, not hidden behind a tab
Note: Google limited FAQ rich results to a small set of authoritative sites in 2023. Write FAQs for shoppers, not for stars in search.
Comment "CUSTOMERFAQ" and I'll send you the Customer Question Mining Worksheet (Google Sheet).
#EcommerceSEO #ContentStrategy #ProductPages #SemanticSEO</t>
  </si>
  <si>
    <t xml:space="preserve">#EcommerceSEO #ContentStrategy #ProductPages #SemanticSEO</t>
  </si>
  <si>
    <t xml:space="preserve">Your FAQ block answers questions nobody asked.
Find real ones in:
→ Support emails
→ Reviews + Q&amp;A
→ Return reasons
→ Site search
→ People Also Ask
Answer in the first sentence.
4–6 per page. Specific to that page.
Save this for your next product update.
Comment "CUSTOMERFAQ" for the Customer Question Mining Worksheet (Google Sheet).
#ecommerceseo #shopifyseo #onpageseo #seotips #ecommerce #shopifystore #woocommerce #productpages #semanticseo #onlinestore #seostrategy #ecommercetips #faq</t>
  </si>
  <si>
    <t xml:space="preserve">#ecommerceseo #shopifyseo #onpageseo #seotips #ecommerce #shopifystore #woocommerce #productpages #semanticseo #onlinestore #seostrategy #ecommercetips #faq</t>
  </si>
  <si>
    <t xml:space="preserve">Slide 1: Your FAQ block answers questions nobody asked | Here's where the real ones are
Slide 2: The generic FAQ problem | "What's your return policy?" on 500 pages is a footer link, not an FAQ
Slide 3: Source 1 — Support inbox | Emails and live chat: the questions people ask right before buying
Slide 4: Source 2 — Reviews &amp; Q&amp;A | "Runs small", "works with X?", "is it heavy?"
Slide 5: Source 3 — Returns reasons | Every return reason is a missing answer
Slide 6: Source 4 — Site search &amp; People Also Ask | What shoppers type on your site and on Google
Slide 7: How to write each answer | Customer's wording as the question. Answer in sentence one. Detail after.
Slide 8: How many &amp; where | 4–6 per page, specific to that page, visible on load
Slide 9: Reality check | Since 2023, Google shows FAQ rich results for few sites. Write for shoppers and AI answers.
Slide 10: Comment "CUSTOMERFAQ" for the question mining worksheet | Follow Muhammad Mehrooz Shafique</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</si>
  <si>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Your FAQ block answers questions nobody asked | Here's where the real ones are
Slide 2: The generic FAQ problem | "What's your return policy?" on 500 pages is a footer link, not an FAQ
Slide 3: Source 1 — Support inbox | Emails and live chat: the questions people ask right before buying
Slide 4: Source 2 — Reviews &amp; Q&amp;A | "Runs small", "works with X?", "is it heavy?"
Slide 5: Source 3 — Returns reasons | Every return reason is a missing answer
Slide 6: Source 4 — Site search &amp; People Also Ask | What shoppers type on your site and on Google
Slide 7: How to write each answer | Customer's wording as the question. Answer in sentence one. Detail after.
Slide 8: How many &amp; where | 4–6 per page, specific to that page, visible on load
Slide 9: Reality check | Since 2023, Google shows FAQ rich results for few sites. Write for shoppers and AI answers.
Slide 10: Comment "CUSTOMERFAQ" for the question mining worksheet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</si>
  <si>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Your FAQ block answers questions nobody asked | Here's where the real ones are
Slide 2: The generic FAQ problem | "What's your return policy?" on 500 pages is a footer link, not an FAQ
Slide 3: Source 1 — Support inbox | Emails and live chat: the questions people ask right before buying
Slide 4: Source 2 — Reviews &amp; Q&amp;A | "Runs small", "works with X?", "is it heavy?"
Slide 5: Source 3 — Returns reasons | Every return reason is a missing answer
Slide 6: Source 4 — Site search &amp; People Also Ask | What shoppers type on your site and on Google
Slide 7: How to write each answer | Customer's wording as the question. Answer in sentence one. Detail after.
Slide 8: How many &amp; where | 4–6 per page, specific to that page, visible on load
Slide 9: Reality check | Since 2023, Google shows FAQ rich results for few sites. Write for shoppers and AI answers.
Slide 10: Comment "CUSTOMERFAQ" for the question mining worksheet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</si>
  <si>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CUSTOMERFAQ</t>
  </si>
  <si>
    <t xml:space="preserve">Customer Question Mining Worksheet (Google Sheet)</t>
  </si>
  <si>
    <t xml:space="preserve">Your FAQ block answers questions nobody asked.
Here's where I find the real ones for product and category pages
---
1. Support emails + live chat.
The questions people ask right before buying are your best FAQs.
---
2. Reviews and product Q&amp;A.
"Runs small." "Does it fit X?" Each one is a question your page should answer.
---
3. Returns reasons.
Every return reason is a missing answer on the product page.
---
4. Site search + People Also Ask.
Shows the exact words shoppers use.
---
Writing rules:
→ Customer wording in the question
→ Answer in the first sentence
→ 4–6 per page, specific to that page
Write for shoppers, not for rich results. #EcommerceSEO</t>
  </si>
  <si>
    <t xml:space="preserve">Where to find real FAQ questions for product pages (not the generic shipping ones)</t>
  </si>
  <si>
    <t xml:space="preserve">Most store FAQ blocks I audit are the same five questions on every page: shipping, returns, payment. That's useful information, but it belongs in a site-wide policy page, not repeated on 500 product pages.
The questions that actually help someone buy are specific to the product. Places I pull them from:
1. Support emails and chat logs. Search for the product name and read the last 50 conversations.
2. Reviews. Phrases like "I wasn't sure if..." or "wish I'd known..." are FAQs waiting to be written.
3. Return reasons. If people return it for sizing, the sizing answer should be on the page.
4. Site search logs. Shows the exact words people use.
5. People Also Ask for the category term.
Writing tips: use the customer's wording, answer in the first sentence, keep 4 to 6 per page, and keep them visible.
FAQ rich results are now rare for most sites, so I treat these as conversion and content quality, not a SERP feature.
Where do you get your best product questions from?</t>
  </si>
  <si>
    <t xml:space="preserve">E-commerce URL structure: clean vs messy product URLs</t>
  </si>
  <si>
    <t xml:space="preserve">Your product URLs tell Google a story. Is it the right one?</t>
  </si>
  <si>
    <t xml:space="preserve">ecommerce url structure</t>
  </si>
  <si>
    <t xml:space="preserve">product url seo, shopify url structure, category url best practice, seo friendly urls, collection urls</t>
  </si>
  <si>
    <t xml:space="preserve">Your product URLs tell Google a story. Is it the right one?
URLs aren't a big ranking factor on their own.
But messy URLs cause real problems: duplicates, wasted crawling, and links pointing to the wrong version.
What I look for on e-commerce sites:
→ Short, readable, lowercase, hyphens between words
→ The product name, not an ID or SKU only
→ No dates, no session IDs, no tracking parameters in internal links
→ One canonical URL per product, even if it appears in 5 collections
→ Filter and sort parameters handled so they don't create thousands of indexable pages
→ Changes only with a 301 redirect, never a silent rename
Shopify note: products can be reached through /collections/x/products/y. The canonical points to /products/y. Many themes still link the collection-path version internally. Link to /products/y instead.
The table below compares common messy patterns with clean ones.
Clean URLs don't rank pages by themselves. They stop you working against yourself.
Comment "CLEANURLS" and I'll send you the E-commerce URL Structure Audit Checklist (PDF).
#EcommerceSEO #TechnicalSEO #ShopifySEO #OnPageSEO</t>
  </si>
  <si>
    <t xml:space="preserve">#EcommerceSEO #TechnicalSEO #ShopifySEO #OnPageSEO</t>
  </si>
  <si>
    <t xml:space="preserve">Your product URLs tell a story.
Clean URL rules:
→ Short, lowercase, hyphens
→ Product name, not SKU
→ No tracking parameters in internal links
→ One canonical per product
→ 301 every change
Shopify: link to /products/name, not /collections/x/products/name.
Save this for your developer.
Comment "CLEANURLS" for the E-commerce URL Structure Audit Checklist (PDF).
#ecommerceseo #shopifyseo #onpageseo #seotips #ecommerce #shopifystore #woocommerce #productpages #semanticseo #onlinestore #seostrategy #ecommercetips #technicalseo</t>
  </si>
  <si>
    <t xml:space="preserve">#ecommerceseo #shopifyseo #onpageseo #seotips #ecommerce #shopifystore #woocommerce #productpages #semanticseo #onlinestore #seostrategy #ecommercetips #technicalseo</t>
  </si>
  <si>
    <t xml:space="preserve">Single image, comparison table, 1080x1350 / 1200x1500.
Headline: MESSY VS CLEAN E-COMMERCE URLS
Sub-headline: URLs won't rank you alone. Bad ones hold you back.
Table — 3 columns: Issue | ❌ Messy | ✅ Clean
Row 1: IDs instead of names | /p/48213 | /products/linen-duvet-cover
Row 2: Capitals &amp; underscores | /Products/Linen_Duvet_Cover | /products/linen-duvet-cover
Row 3: Collection path in internal links | /collections/bedding/products/linen-duvet-cover | /products/linen-duvet-cover
Row 4: Tracking in internal links | /products/linen-duvet-cover?ref=homepage | /products/linen-duvet-cover
Row 5: Stuffed category URL | /collections/best-cheap-bedding-uk-bedding-sale | /collections/bedding
Row 6: Filter pages indexed | /collections/bedding?color=grey&amp;sort=price | canonical to /collections/bedding (unless the filter has its own search demand)
Footer strip: Every change = 301 redirect.
Footer: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</si>
  <si>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"Your product URLs tell Google a story. Is it the right one?"
SUBHEAD: "E-commerce URL structure: clean vs messy product URLs"
MAIN VISUAL: the layout described below containing exactly: 
Single image, comparison table, 1080x1350 / 1200x1500.
Headline: MESSY VS CLEAN E-COMMERCE URLS
Sub-headline: URLs won't rank you alone. Bad ones hold you back.
Table — 3 columns: Issue | ❌ Messy | ✅ Clean
Row 1: IDs instead of names | /p/48213 | /products/linen-duvet-cover
Row 2: Capitals &amp; underscores | /Products/Linen_Duvet_Cover | /products/linen-duvet-cover
Row 3: Collection path in internal links | /collections/bedding/products/linen-duvet-cover | /products/linen-duvet-cover
Row 4: Tracking in internal links | /products/linen-duvet-cover?ref=homepage | /products/linen-duvet-cover
Row 5: Stuffed category URL | /collections/best-cheap-bedding-uk-bedding-sale | /collections/bedding
Row 6: Filter pages indexed | /collections/bedding?color=grey&amp;sort=price | canonical to /collections/bedding (unless the filter has its own search demand)
Footer strip: Every change = 301 redirect.
Footer: Muhammad Mehrooz Shafique · Permanent SEO
CTA BANNER (bottom, navy rounded box, white text, keyword in blue): Comment "CLEANURLS" for E-commerce URL Structure Audit Checklist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</si>
  <si>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"Your product URLs tell Google a story. Is it the right one?"
BODY (numbered points / simple visual): the 3–5 key points from this brief, shortened to max 8 words each:
Single image, comparison table, 1080x1350 / 1200x1500.
Headline: MESSY VS CLEAN E-COMMERCE URLS
Sub-headline: URLs won't rank you alone. Bad ones hold you back.
Table — 3 columns: Issue | ❌ Messy | ✅ Clean
Row 1: IDs instead of names | /p/48213 | /products/linen-duvet-cover
Row 2: Capitals &amp; underscores | /Products/Linen_Duvet_Cover | /products/linen-duvet-cover
Row 3: Collection path in internal links | /collections/bedding/products/linen-duvet-cover | /products/linen-duvet-cover
Row 4: Tracking in internal links | /products/linen-duvet-cover?ref=homepage | /products/linen-duvet-cover
Row 5: Stuffed category URL | /collections/best-cheap-bedding-uk-bedding-sale | /collections/bedding
Row 6: Filter pages indexed | /collections/bedding?color=grey&amp;sort=price | canonical to /collections/bedding (unless the filter has its own search demand)
Footer strip: Every change = 301 redirect.
Footer: Muhammad Mehrooz Shafique · Permanent SEO
BOTTOM BAR: Comment "CLEANURLS" for E-commerce URL Structure Audit Checklist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</si>
  <si>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CLEANURLS</t>
  </si>
  <si>
    <t xml:space="preserve">E-commerce URL Structure Audit Checklist (PDF)</t>
  </si>
  <si>
    <t xml:space="preserve">URLs aren't a big ranking factor. But messy ones create duplicates and wasted crawling.
Short. Lowercase. Product name. One canonical. 301 every change.
Shopify: link to /products/x. #TechnicalSEO</t>
  </si>
  <si>
    <t xml:space="preserve">Myth: reviews only help conversion, not SEO</t>
  </si>
  <si>
    <t xml:space="preserve">We don't treat reviews as social proof only. They're content.</t>
  </si>
  <si>
    <t xml:space="preserve">product reviews seo</t>
  </si>
  <si>
    <t xml:space="preserve">review content seo, customer reviews ecommerce, user generated content seo, aggregaterating, review stars</t>
  </si>
  <si>
    <t xml:space="preserve">We don't treat reviews as social proof only.
Most stores collect reviews like this:
"5 stars. Great product. Fast delivery."
Nice for conversion. Very little for search.
Reviews are content customers write in their own words.
The words people use in reviews are often the words people search.
Three things to ask for in your review request:
→ What did you use it for?
→ Which size or variant did you choose, and why?
→ What would you tell someone before buying?
Those answers give you use cases, sizing, comparisons.
Real language for real long-tail searches.
Two rules:
→ Make reviews visible on the product page, not hidden in an iframe Google may not see
→ Only mark up the reviews that are on the page
Stars bring the click. Words bring the context.
Comment "REVIEWCONTENT" and I'll send you the Review Request Email Templates That Collect Useful Content.
#EcommerceSEO #CustomerReviews #ProductPages #ShopifySEO</t>
  </si>
  <si>
    <t xml:space="preserve">#EcommerceSEO #CustomerReviews #ProductPages #ShopifySEO</t>
  </si>
  <si>
    <t xml:space="preserve">We don't treat reviews as social proof only.
Ask customers:
→ What did you use it for?
→ Which size did you choose?
→ What should others know?
That's long-tail content in real language.
Keep reviews visible and crawlable.
Share this with whoever sends your review emails.
Comment "REVIEWCONTENT" for the Review Request Email Templates That Collect Useful Content.
#ecommerceseo #shopifyseo #onpageseo #seotips #ecommerce #shopifystore #woocommerce #productpages #semanticseo #onlinestore #seostrategy #ecommercetips #customerreviews</t>
  </si>
  <si>
    <t xml:space="preserve">#ecommerceseo #shopifyseo #onpageseo #seotips #ecommerce #shopifystore #woocommerce #productpages #semanticseo #onlinestore #seostrategy #ecommercetips #customerreviews</t>
  </si>
  <si>
    <t xml:space="preserve">[0-2s] VO: We don't treat reviews as decoration. | ON-SCREEN: NOT DECORATION | VISUAL: Five gold stars drop in, then shrink
[2-4s] VO: We treat them as content. | ON-SCREEN: REVIEWS = CONTENT | VISUAL: Stars turn into lines of text
[4-7s] VO: Most review requests ask for one thing. | ON-SCREEN: MOST STORES ASK FOR | VISUAL: Email mockup
[7-8s] VO: Stars. | ON-SCREEN: STARS | VISUAL: ★★★★★
[8-9s] VO: Great. | ON-SCREEN: "GREAT" | VISUAL: Short review bubble
[9-10s] VO: Done. | ON-SCREEN: DONE | VISUAL: Tick
[10-13s] VO: But useful reviews answer three questions. | ON-SCREEN: 3 BETTER QUESTIONS | VISUAL: Three numbered cards
[13-16s] VO: What did you use it for? | ON-SCREEN: WHAT FOR? | VISUAL: Hiking photo icon
[16-19s] VO: Which size did you choose, and why? | ON-SCREEN: WHICH SIZE? | VISUAL: Size chips S M L
[19-22s] VO: What should others know first? | ON-SCREEN: WHAT TO KNOW? | VISUAL: Lightbulb
[22-25s] VO: Without those answers, reviews add stars. | ON-SCREEN: STARS ONLY | VISUAL: Stars alone on page
[25-28s] VO: They don't add context. | ON-SCREEN: NO CONTEXT | VISUAL: Empty text space
[28-31s] VO: Stars bring the click. | ON-SCREEN: STARS → CLICK | VISUAL: Search result with stars
[31-34s] VO: Words bring the context. | ON-SCREEN: COMMENT "REVIEWCONTENT" | VISUAL: CTA card, Muhammad Mehrooz Shafique ·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</si>
  <si>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treat reviews as decoration. | ON-SCREEN: NOT DECORATION | VISUAL: Five gold stars drop in, then shrink
[2-4s] VO: We treat them as content. | ON-SCREEN: REVIEWS = CONTENT | VISUAL: Stars turn into lines of text
[4-7s] VO: Most review requests ask for one thing. | ON-SCREEN: MOST STORES ASK FOR | VISUAL: Email mockup
[7-8s] VO: Stars. | ON-SCREEN: STARS | VISUAL: ★★★★★
[8-9s] VO: Great. | ON-SCREEN: "GREAT" | VISUAL: Short review bubble
[9-10s] VO: Done. | ON-SCREEN: DONE | VISUAL: Tick
[10-13s] VO: But useful reviews answer three questions. | ON-SCREEN: 3 BETTER QUESTIONS | VISUAL: Three numbered cards
[13-16s] VO: What did you use it for? | ON-SCREEN: WHAT FOR? | VISUAL: Hiking photo icon
[16-19s] VO: Which size did you choose, and why? | ON-SCREEN: WHICH SIZE? | VISUAL: Size chips S M L
[19-22s] VO: What should others know first? | ON-SCREEN: WHAT TO KNOW? | VISUAL: Lightbulb
[22-25s] VO: Without those answers, reviews add stars. | ON-SCREEN: STARS ONLY | VISUAL: Stars alone on page
[25-28s] VO: They don't add context. | ON-SCREEN: NO CONTEXT | VISUAL: Empty text space
[28-31s] VO: Stars bring the click. | ON-SCREEN: STARS → CLICK | VISUAL: Search result with stars
[31-34s] VO: Words bring the context. | ON-SCREEN: COMMENT "REVIEWCONTENT" | VISUAL: CTA card, Muhammad Mehrooz Shafique · Permanent SEO
Final 3 s: dark/navy end card with Permanent SEO logo, 'SEO for E-commerce Brands' and 'Comment "REVIEWCONTENT"'. Burned-in captions. All text spelled exactly as written, sharp and legible on mobile; no extra words, no watermarks.</t>
  </si>
  <si>
    <t xml:space="preserve">REVIEWCONTENT</t>
  </si>
  <si>
    <t xml:space="preserve">Review Request Email Templates That Collect Useful Content</t>
  </si>
  <si>
    <t xml:space="preserve">We don't treat reviews as decoration.
Ask: what did you use it for, which size and why, what should others know?
Stars bring the click. Words bring the context. #EcommerceSEO</t>
  </si>
  <si>
    <t xml:space="preserve">Product Reviews SEO: Turn Reviews Into Ranking Content</t>
  </si>
  <si>
    <t xml:space="preserve">Product reviews SEO is about more than stars. Ask three better questions in your review emails to collect real customer language for your product pages. #Shorts</t>
  </si>
  <si>
    <t xml:space="preserve">product reviews seo, customer reviews, ecommerce seo, user generated content, shopify seo, review stars, product page seo, woocommerce seo, review emails</t>
  </si>
  <si>
    <t xml:space="preserve">Internal links from blog posts to products and collections</t>
  </si>
  <si>
    <t xml:space="preserve">Your blog gets traffic. Your products never hear about it.</t>
  </si>
  <si>
    <t xml:space="preserve">internal linking ecommerce</t>
  </si>
  <si>
    <t xml:space="preserve">blog to product links, shopify internal links, ecommerce blog seo, internal link strategy, contextual links</t>
  </si>
  <si>
    <t xml:space="preserve">Your blog gets traffic. Your products never hear about it.
I see this on most e-commerce audits.
The blog ranks for "how to choose a road bike saddle".
The post never links to the saddle collection.
Or it links once, in the footer, with "shop now".
Internal links do two jobs:
→ Help shoppers move from reading to buying
→ Tell Google which pages matter and what they're about
How we connect blog to products:
→ List your top blog posts by traffic in [YOUR GSC DATA]
→ Match each post to one collection and 2–3 products it naturally supports
→ Add links inside the body copy where the product is mentioned
→ Use descriptive anchor text ("women's road bike saddles"), not "click here"
→ Add a product block near the top for shoppers ready to buy
→ Link back from the collection to the guide for shoppers still deciding
Your blog shouldn't be a separate website. It should feed the pages that sell.
Comment "BLOGTOPRODUCT" and I'll send you the Blog-to-Product Internal Link Planner (Google Sheet).
#EcommerceSEO #InternalLinking #ContentMarketing #ShopifySEO</t>
  </si>
  <si>
    <t xml:space="preserve">#EcommerceSEO #InternalLinking #ContentMarketing #ShopifySEO</t>
  </si>
  <si>
    <t xml:space="preserve">Your blog gets traffic. Your products don't.
Fix:
→ Find top blog posts by traffic
→ Match each to 1 collection + 2–3 products
→ Link inside the body copy
→ Descriptive anchor text
→ Link the collection back to the guide
Your blog should feed the pages that sell.
Save this for your next content review.
Comment "BLOGTOPRODUCT" for the Blog-to-Product Internal Link Planner (Google Sheet).
#ecommerceseo #shopifyseo #onpageseo #seotips #ecommerce #shopifystore #woocommerce #productpages #semanticseo #onlinestore #seostrategy #ecommercetips #internallinks #contentmarketing</t>
  </si>
  <si>
    <t xml:space="preserve">#ecommerceseo #shopifyseo #onpageseo #seotips #ecommerce #shopifystore #woocommerce #productpages #semanticseo #onlinestore #seostrategy #ecommercetips #internallinks #contentmarketing</t>
  </si>
  <si>
    <t xml:space="preserve">Scene 1 [0-8s] VO: Look at this. Our saddle guide got [X] visits last month. And sales from it? ...Basically nothing. | VISUAL: Owner looking at analytics; blog traffic line up, revenue line flat
Scene 2 [8-18s] VO: Let's be honest. Your blog isn't failing. People read it. It's just not connected to the pages that sell. | VISUAL: Blog island and product island, no bridge
Scene 3 [18-28s] VO: Readers finish the post, close the tab, search again, and buy from whoever actually showed them the product they wanted. | VISUAL: Cursor leaves to a competitor tab
Scene 4 [28-34s] VO: It's time to build the bridge. | VISUAL: Title card: BLOG → PRODUCT LINKS
Scene 5 [34-46s] VO: Step one. Pull your top blog posts by traffic from Search Console. | VISUAL: Ranked list of posts
Scene 6 [46-60s] VO: Step two. Match each post to one collection and two or three products it naturally supports. | VISUAL: Lines connecting posts to product cards
Scene 7 [60-74s] VO: Step three. Link inside the body copy, with descriptive anchors like "women's road bike saddles", not "click here". | VISUAL: Paragraph with highlighted anchor text
Scene 8 [74-86s] VO: Step four. Add a product block near the top, and link the collection back to the guide. | VISUAL: Two-way arrows between blog and collection
Scene 9 [86-94s] VO: For [Client: UK cycling store]: [CLIENT RESULT: +X% blog-assisted revenue]. | VISUAL: Placeholder chart
Scene 10 [94-104s] VO: Comment BLOGTOPRODUCT for the link planner. Or book a free e-commerce SEO audit with Permanent SEO. | VISUAL: CTA card, Muhammad Mehrooz Shafique</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</si>
  <si>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Look at this. Our saddle guide got [X] visits last month. And sales from it? ...Basically nothing. | VISUAL: Owner looking at analytics; blog traffic line up, revenue line flat
Scene 2 [8-18s] VO: Let's be honest. Your blog isn't failing. People read it. It's just not connected to the pages that sell. | VISUAL: Blog island and product island, no bridge
Scene 3 [18-28s] VO: Readers finish the post, close the tab, search again, and buy from whoever actually showed them the product they wanted. | VISUAL: Cursor leaves to a competitor tab
Scene 4 [28-34s] VO: It's time to build the bridge. | VISUAL: Title card: BLOG → PRODUCT LINKS
Scene 5 [34-46s] VO: Step one. Pull your top blog posts by traffic from Search Console. | VISUAL: Ranked list of posts
Scene 6 [46-60s] VO: Step two. Match each post to one collection and two or three products it naturally supports. | VISUAL: Lines connecting posts to product cards
Scene 7 [60-74s] VO: Step three. Link inside the body copy, with descriptive anchors like "women's road bike saddles", not "click here". | VISUAL: Paragraph with highlighted anchor text
Scene 8 [74-86s] VO: Step four. Add a product block near the top, and link the collection back to the guide. | VISUAL: Two-way arrows between blog and collection
Scene 9 [86-94s] VO: For [Client: UK cycling store]: [CLIENT RESULT: +X% blog-assisted revenue]. | VISUAL: Placeholder chart
Scene 10 [94-104s] VO: Comment BLOGTOPRODUCT for the link planner. Or book a free e-commerce SEO audit with Permanent SEO. | VISUAL: CTA card, Muhammad Mehrooz Shafique
End card: Permanent SEO logo + 'Comment "BLOGTOPRODUCT"'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</si>
  <si>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Look at this. Our saddle guide got [X] visits last month. And sales from it? ...Basically nothing. | VISUAL: Owner looking at analytics; blog traffic line up, revenue line flat
Scene 2 [8-18s] VO: Let's be honest. Your blog isn't failing. People read it. It's just not connected to the pages that sell. | VISUAL: Blog island and product island, no bridge
Scene 3 [18-28s] VO: Readers finish the post, close the tab, search again, and buy from whoever actually showed them the product they wanted. | VISUAL: Cursor leaves to a competitor tab
Scene 4 [28-34s] VO: It's time to build the bridge. | VISUAL: Title card: BLOG → PRODUCT LINKS
Scene 5 [34-46s] VO: Step one. Pull your top blog posts by traffic from Search Console. | VISUAL: Ranked list of posts
Scene 6 [46-60s] VO: Step two. Match each post to one collection and two or three products it naturally supports. | VISUAL: Lines connecting posts to product cards
Scene 7 [60-74s] VO: Step three. Link inside the body copy, with descriptive anchors like "women's road bike saddles", not "click here". | VISUAL: Paragraph with highlighted anchor text
Scene 8 [74-86s] VO: Step four. Add a product block near the top, and link the collection back to the guide. | VISUAL: Two-way arrows between blog and collection
Scene 9 [86-94s] VO: For [Client: UK cycling store]: [CLIENT RESULT: +X% blog-assisted revenue]. | VISUAL: Placeholder chart
Scene 10 [94-104s] VO: Comment BLOGTOPRODUCT for the link planner. Or book a free e-commerce SEO audit with Permanent SEO. | VISUAL: CTA card, Muhammad Mehrooz Shafique
Final 3 s: dark/navy end card with Permanent SEO logo, 'SEO for E-commerce Brands' and 'Comment "BLOGTOPRODUCT"'. Burned-in captions. All text spelled exactly as written, sharp and legible on mobile; no extra words, no watermarks.</t>
  </si>
  <si>
    <t xml:space="preserve">BLOGTOPRODUCT</t>
  </si>
  <si>
    <t xml:space="preserve">Blog-to-Product Internal Link Planner (Google Sheet)</t>
  </si>
  <si>
    <t xml:space="preserve">Your blog gets traffic. Your products never hear about it.
Match each top post to 1 collection + 2–3 products. Link in the body. Descriptive anchors.
#InternalLinking #EcommerceSEO</t>
  </si>
  <si>
    <t xml:space="preserve">Internal Linking for E-commerce: Blog Posts to Product Pages</t>
  </si>
  <si>
    <t xml:space="preserve">Internal linking for e-commerce connects blog traffic to the product and collection pages that sell. Muhammad Mehrooz Shafique of Permanent SEO explains a four-step process for Shopify and WooCommerce stores.</t>
  </si>
  <si>
    <t xml:space="preserve">internal linking ecommerce, internal links, ecommerce seo, shopify seo, blog seo, product page seo, anchor text, content marketing, woocommerce seo, permanent seo</t>
  </si>
  <si>
    <t xml:space="preserve">Prompt pack: AI product descriptions built on real attributes</t>
  </si>
  <si>
    <t xml:space="preserve">AI product descriptions sound the same. Unless you feed them facts.</t>
  </si>
  <si>
    <t xml:space="preserve">ai product descriptions</t>
  </si>
  <si>
    <t xml:space="preserve">chatgpt product descriptions, ai copywriting ecommerce, product description prompts, semantic product content</t>
  </si>
  <si>
    <t xml:space="preserve">AI product descriptions sound the same. Unless you feed them facts.
"Write a product description for a linen shirt" gives you the same text every other store gets.
Generic in, generic out.
The prompts I share with clients work differently.
They force the AI to use your data, not its imagination.
Each prompt starts with inputs you fill in:
→ Product attributes (material, size, fit, compatibility)
→ Top 3 customer questions from reviews or support
→ Who it's for, and who it's not for
→ Your brand voice rules
→ The primary keyword for that page
Then the prompt asks for:
→ A one-sentence summary that names the product type
→ Attribute-led paragraphs, facts before adjectives
→ A short FAQ in the customer's wording
→ A specs table
→ A list of claims the AI couldn't verify, so you can check them
That last step matters. AI will invent details. Your team reviews every output before it goes live.
The pack has 7 prompts: product, variant, collection intro, FAQ, alt text, meta title, meta description.
Comment "PROMPTPACK" and I'll send you the Semantic Product Description Prompt Pack (7 prompts, Google Doc).
#EcommerceSEO #AIContent #ChatGPT #ProductPages</t>
  </si>
  <si>
    <t xml:space="preserve">#EcommerceSEO #AIContent #ChatGPT #ProductPages</t>
  </si>
  <si>
    <t xml:space="preserve">AI product descriptions sound the same.
Unless you feed them:
→ Real attributes
→ Real customer questions
→ Who it's for / not for
→ Your voice rules
And always ask the AI to list claims it couldn't verify.
Human review before publishing. Every time.
Save this for your next product upload.
Comment "PROMPTPACK" for the Semantic Product Description Prompt Pack (7 prompts, Google Doc).
#ecommerceseo #shopifyseo #onpageseo #seotips #ecommerce #shopifystore #woocommerce #productpages #semanticseo #onlinestore #seostrategy #ecommercetips #aitools #chatgpt</t>
  </si>
  <si>
    <t xml:space="preserve">#ecommerceseo #shopifyseo #onpageseo #seotips #ecommerce #shopifystore #woocommerce #productpages #semanticseo #onlinestore #seostrategy #ecommercetips #aitools #chatgpt</t>
  </si>
  <si>
    <t xml:space="preserve">Single image, "tool share" card styled as a prompt window, 1080x1350 / 1200x1500.
Top label: FREE PROMPT PACK
Headline: AI PRODUCT DESCRIPTIONS THAT DON'T SOUND LIKE EVERYONE ELSE'S
Centre: chat-window mockup showing a prompt with fill-in fields:
[PRODUCT TYPE] · [MATERIAL] · [SIZE/DIMENSIONS] · [COMPATIBILITY] · [TOP 3 CUSTOMER QUESTIONS] · [WHO IT'S FOR / NOT FOR] · [PRIMARY KEYWORD] · [BRAND VOICE RULES]
Below window — numbered list "The 7 prompts inside":
1 Product description
2 Variant description
3 Collection intro
4 FAQ block
5 Image alt text
6 Meta title
7 Meta description
Warning strip: Every output gets a human fact-check before publishing.
Banner: Comment "PROMPTPACK" for free access
Footer: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</si>
  <si>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"AI product descriptions sound the same. Unless you feed them facts."
SUBHEAD: "Prompt pack: AI product descriptions built on real attributes"
MAIN VISUAL: the layout described below containing exactly: 
Single image, "tool share" card styled as a prompt window, 1080x1350 / 1200x1500.
Top label: FREE PROMPT PACK
Headline: AI PRODUCT DESCRIPTIONS THAT DON'T SOUND LIKE EVERYONE ELSE'S
Centre: chat-window mockup showing a prompt with fill-in fields:
[PRODUCT TYPE] · [MATERIAL] · [SIZE/DIMENSIONS] · [COMPATIBILITY] · [TOP 3 CUSTOMER QUESTIONS] · [WHO IT'S FOR / NOT FOR] · [PRIMARY KEYWORD] · [BRAND VOICE RULES]
Below window — numbered list "The 7 prompts inside":
1 Product description
2 Variant description
3 Collection intro
4 FAQ block
5 Image alt text
6 Meta title
7 Meta description
Warning strip: Every output gets a human fact-check before publishing.
Banner: Comment "PROMPTPACK" for free access
Footer: Muhammad Mehrooz Shafique · Permanent SEO
CTA BANNER (bottom, navy rounded box, white text, keyword in blue): Comment "PROMPTPACK" for Semantic Product Description Prompt Pack (7 prompts, Google Doc)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</si>
  <si>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"AI product descriptions sound the same. Unless you feed them facts."
BODY (numbered points / simple visual): the 3–5 key points from this brief, shortened to max 8 words each:
Single image, "tool share" card styled as a prompt window, 1080x1350 / 1200x1500.
Top label: FREE PROMPT PACK
Headline: AI PRODUCT DESCRIPTIONS THAT DON'T SOUND LIKE EVERYONE ELSE'S
Centre: chat-window mockup showing a prompt with fill-in fields:
[PRODUCT TYPE] · [MATERIAL] · [SIZE/DIMENSIONS] · [COMPATIBILITY] · [TOP 3 CUSTOMER QUESTIONS] · [WHO IT'S FOR / NOT FOR] · [PRIMARY KEYWORD] · [BRAND VOICE RULES]
Below window — numbered list "The 7 prompts inside":
1 Product description
2 Variant description
3 Collection intro
4 FAQ block
5 Image alt text
6 Meta title
7 Meta description
Warning strip: Every output gets a human fact-check before publishing.
Banner: Comment "PROMPTPACK" for free access
Footer: Muhammad Mehrooz Shafique · Permanent SEO
BOTTOM BAR: Comment "PROMPTPACK" for Semantic Product Description Prompt Pack (7 prompts, Google Doc)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</si>
  <si>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PROMPTPACK</t>
  </si>
  <si>
    <t xml:space="preserve">Semantic Product Description Prompt Pack (7 prompts, Google Doc)</t>
  </si>
  <si>
    <t xml:space="preserve">Generic prompt in, generic product description out.
Feed AI real attributes, real customer questions and your voice rules. Ask it to flag unverified claims.
Then a human checks it. #AIContent #EcommerceSEO</t>
  </si>
  <si>
    <t xml:space="preserve">Meta titles for product and category pages that earn clicks</t>
  </si>
  <si>
    <t xml:space="preserve">Ranking on page one but no clicks? Check your meta titles.</t>
  </si>
  <si>
    <t xml:space="preserve">meta titles for ecommerce</t>
  </si>
  <si>
    <t xml:space="preserve">product page meta title, category meta title, title tag seo, improve ctr ecommerce, shopify meta title</t>
  </si>
  <si>
    <t xml:space="preserve">You're ranking on page one and still not getting clicks. Check your titles.
Most stores leave the default: "Product Name – Store Name".
It's not wrong. It's just easy to scroll past.
The meta title is what Google often shows as the blue link.
Google can rewrite it, but a clear, accurate title is usually kept.
Formulas I use:
→ Product: [Product type + key attribute] | [Benefit or USP] | [Brand]
"Linen Duvet Cover King – Stonewashed, Pre-Softened | [Brand]"
→ Category: [Category] – [Range or proof] | [Brand]
"Oak Dining Tables – Solid &amp; Veneer, 4 to 10 Seats | [Brand]"
What to add for clicks:
→ Real differentiators: free returns, made in UK, size range
→ Specifics, not adjectives
→ Keyword near the start
What to avoid:
→ ALL CAPS, repeated keywords, fake urgency
→ Titles so long the useful part gets cut off on mobile
Find pages with high impressions and low CTR in [YOUR GSC DATA]. Start there.
Comment "METATITLES" and I'll send you the E-commerce Meta Title Swipe File (60 examples).
#EcommerceSEO #OnPageSEO #CTR #ShopifySEO</t>
  </si>
  <si>
    <t xml:space="preserve">#EcommerceSEO #OnPageSEO #CTR #ShopifySEO</t>
  </si>
  <si>
    <t xml:space="preserve">Ranking but no clicks?
Check your meta titles.
→ Product: type + attribute | USP | brand
→ Category: category + range | brand
→ Keyword near the start
→ Real differentiators, not adjectives
→ No caps, no fake urgency
Start with high impressions, low CTR pages.
Save this for your next title update.
Comment "METATITLES" for the E-commerce Meta Title Swipe File (60 examples).
#ecommerceseo #shopifyseo #onpageseo #seotips #ecommerce #shopifystore #woocommerce #productpages #semanticseo #onlinestore #seostrategy #ecommercetips #metatitle</t>
  </si>
  <si>
    <t xml:space="preserve">#ecommerceseo #shopifyseo #onpageseo #seotips #ecommerce #shopifystore #woocommerce #productpages #semanticseo #onlinestore #seostrategy #ecommercetips #metatitle</t>
  </si>
  <si>
    <t xml:space="preserve">Slide 1: Ranking on page one but no clicks? | Check your meta titles
Slide 2: The default problem | "Product Name – Store Name" is accurate but easy to scroll past
Slide 3: What the meta title does | Often becomes the blue link. Google may rewrite it, but clear titles are usually kept
Slide 4: Product formula | [Product type + key attribute] | [Benefit/USP] | [Brand]
Slide 5: Product example | Linen Duvet Cover King – Stonewashed, Pre-Softened | [Brand]
Slide 6: Category formula + example | Oak Dining Tables – Solid &amp; Veneer, 4 to 10 Seats | [Brand]
Slide 7: ✅ Add for clicks | Free returns, made in UK, size range, keyword near the start
Slide 8: ❌ Avoid | ALL CAPS, repeated keywords, fake urgency, the useful part cut off on mobile
Slide 9: Where to start | Search Console → pages with high impressions and low CTR → rewrite → recheck in 4 weeks
Slide 10: Comment "METATITLES" for the 60-example swipe file | Follow Muhammad Mehrooz Shafique</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</si>
  <si>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Ranking on page one but no clicks? | Check your meta titles
Slide 2: The default problem | "Product Name – Store Name" is accurate but easy to scroll past
Slide 3: What the meta title does | Often becomes the blue link. Google may rewrite it, but clear titles are usually kept
Slide 4: Product formula | [Product type + key attribute] | [Benefit/USP] | [Brand]
Slide 5: Product example | Linen Duvet Cover King – Stonewashed, Pre-Softened | [Brand]
Slide 6: Category formula + example | Oak Dining Tables – Solid &amp; Veneer, 4 to 10 Seats | [Brand]
Slide 7: ✅ Add for clicks | Free returns, made in UK, size range, keyword near the start
Slide 8: ❌ Avoid | ALL CAPS, repeated keywords, fake urgency, the useful part cut off on mobile
Slide 9: Where to start | Search Console → pages with high impressions and low CTR → rewrite → recheck in 4 weeks
Slide 10: Comment "METATITLES" for the 60-example swipe file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</si>
  <si>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Ranking on page one but no clicks? | Check your meta titles
Slide 2: The default problem | "Product Name – Store Name" is accurate but easy to scroll past
Slide 3: What the meta title does | Often becomes the blue link. Google may rewrite it, but clear titles are usually kept
Slide 4: Product formula | [Product type + key attribute] | [Benefit/USP] | [Brand]
Slide 5: Product example | Linen Duvet Cover King – Stonewashed, Pre-Softened | [Brand]
Slide 6: Category formula + example | Oak Dining Tables – Solid &amp; Veneer, 4 to 10 Seats | [Brand]
Slide 7: ✅ Add for clicks | Free returns, made in UK, size range, keyword near the start
Slide 8: ❌ Avoid | ALL CAPS, repeated keywords, fake urgency, the useful part cut off on mobile
Slide 9: Where to start | Search Console → pages with high impressions and low CTR → rewrite → recheck in 4 weeks
Slide 10: Comment "METATITLES" for the 60-example swipe file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</si>
  <si>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METATITLES</t>
  </si>
  <si>
    <t xml:space="preserve">E-commerce Meta Title Swipe File (60 examples)</t>
  </si>
  <si>
    <t xml:space="preserve">Ranking on page one but not getting clicks?
Your meta title is probably "Product Name – Store Name". Here's what I use instead
---
Product formula:
[Product type + key attribute] | [Benefit or USP] | [Brand]
"Linen Duvet Cover King – Stonewashed, Pre-Softened | [Brand]"
---
Category formula:
[Category] – [Range or proof] | [Brand]
"Oak Dining Tables – Solid &amp; Veneer, 4 to 10 Seats | [Brand]"
---
Add for clicks:
→ Real differentiators (free returns, made in UK)
→ Specifics, not adjectives
→ Keyword near the start
---
Avoid:
❌ ALL CAPS
❌ Repeated keywords
❌ Fake urgency
❌ Useful info cut off at the end
---
Start in Search Console: high impressions, low CTR. Rewrite those first, recheck in 4 weeks. #EcommerceSEO</t>
  </si>
  <si>
    <t xml:space="preserve">r/SEO</t>
  </si>
  <si>
    <t xml:space="preserve">How I approach meta titles for product and category pages (formulas + examples)</t>
  </si>
  <si>
    <t xml:space="preserve">A lot of e-commerce sites leave titles on the platform default, usually "Product Name – Store Name". It's accurate, but it gives searchers no reason to choose that result over the next one.
The formulas I use as a starting point:
Product: [Product type + key attribute] | [Benefit or USP] | [Brand]
Example: Linen Duvet Cover King – Stonewashed, Pre-Softened | Brand
Category: [Category] – [Range or proof] | [Brand]
Example: Oak Dining Tables – Solid &amp; Veneer, 4 to 10 Seats | Brand
Things that help: the keyword near the start, real differentiators (free returns, made in UK, size range), and specifics instead of adjectives.
Things I avoid: caps, repeated keywords, fake urgency, and titles so long the useful part gets cut off.
Google can rewrite titles, but in my experience it tends to keep ones that clearly match the page's H1 and content.
To prioritise, I filter Search Console for pages with high impressions and low CTR, rewrite those, and compare after about four weeks.
Do you test titles at the template level or page by page?</t>
  </si>
  <si>
    <t xml:space="preserve">Anatomy of a semantic product page (annotated)</t>
  </si>
  <si>
    <t xml:space="preserve">Every element of a product page that ranks, labelled.</t>
  </si>
  <si>
    <t xml:space="preserve">semantic product page</t>
  </si>
  <si>
    <t xml:space="preserve">product page seo checklist, product page structure, ecommerce product page layout, on-page seo product page</t>
  </si>
  <si>
    <t xml:space="preserve">Every element of a product page that ranks, labelled.
Semantic SEO sounds complicated. On a product page it's simple:
make it easy for Google and shoppers to understand exactly what this product is, who it's for and how it compares.
The annotated layout below shows 10 elements I check:
→ 1. H1 with product type + key attribute
→ 2. Short summary above the fold: what it is, who it's for
→ 3. Images with descriptive alt text per angle
→ 4. Price, availability and variants visible in the HTML
→ 5. Attribute-led description (material, size, use case, compatibility)
→ 6. Specs table
→ 7. FAQ from real customer questions
→ 8. Visible reviews with real detail
→ 9. Links to the parent collection, related products and a buying guide
→ 10. Product + Offer structured data that matches the page
You don't need all ten on day one.
Start with 1, 5 and 10 on your top products. Then add the rest.
Comment "PAGEANATOMY" and I'll send you the Semantic Product Page Audit Scorecard (Google Sheet).
#EcommerceSEO #SemanticSEO #ProductPages #OnPageSEO</t>
  </si>
  <si>
    <t xml:space="preserve">#EcommerceSEO #SemanticSEO #ProductPages #OnPageSEO</t>
  </si>
  <si>
    <t xml:space="preserve">Every element of a product page that ranks.
→ H1 with product type
→ Short summary
→ Alt text per image
→ Attribute-led description
→ Specs table
→ Real FAQs
→ Visible reviews
→ Links to collection + guide
→ Matching schema
Start with the H1, the description and the schema.
Save this and audit your best-seller.
Comment "PAGEANATOMY" for the Semantic Product Page Audit Scorecard (Google Sheet).
#ecommerceseo #shopifyseo #onpageseo #seotips #ecommerce #shopifystore #woocommerce #productpages #semanticseo #onlinestore #seostrategy #ecommercetips #ux</t>
  </si>
  <si>
    <t xml:space="preserve">#ecommerceseo #shopifyseo #onpageseo #seotips #ecommerce #shopifystore #woocommerce #productpages #semanticseo #onlinestore #seostrategy #ecommercetips #ux</t>
  </si>
  <si>
    <t xml:space="preserve">Single image, annotated product page wireframe, 1080x1350 / 1200x1500.
Headline: ANATOMY OF A SEMANTIC PRODUCT PAGE
Sub-headline: 10 elements. Start with 1, 5 and 10.
Centre: full-length product page wireframe (example product: merino wool jumper), with numbered callout circles connected by thin lines:
1 H1: "Women's Merino Wool Crew Neck Jumper – Navy"
2 Summary: what it is + who it's for (2 lines)
3 Image gallery — alt text per angle
4 Price, stock, variant selector (in HTML, not only JavaScript)
5 Description led by attributes: material, fit, use case, care
6 Specs table
7 FAQ (4–6 real questions)
8 Reviews with detail (fit, use, size chosen)
9 Links: parent collection, related items, buying guide
10 Product + Offer schema matching the page (code bracket icon)
Highlight colour on 1, 5, 10 with tag "Start here".
Footer: Muhammad Mehrooz Shafique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</si>
  <si>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"Every element of a product page that ranks, labelled."
SUBHEAD: "Anatomy of a semantic product page (annotated)"
MAIN VISUAL: the layout described below containing exactly: 
Single image, annotated product page wireframe, 1080x1350 / 1200x1500.
Headline: ANATOMY OF A SEMANTIC PRODUCT PAGE
Sub-headline: 10 elements. Start with 1, 5 and 10.
Centre: full-length product page wireframe (example product: merino wool jumper), with numbered callout circles connected by thin lines:
1 H1: "Women's Merino Wool Crew Neck Jumper – Navy"
2 Summary: what it is + who it's for (2 lines)
3 Image gallery — alt text per angle
4 Price, stock, variant selector (in HTML, not only JavaScript)
5 Description led by attributes: material, fit, use case, care
6 Specs table
7 FAQ (4–6 real questions)
8 Reviews with detail (fit, use, size chosen)
9 Links: parent collection, related items, buying guide
10 Product + Offer schema matching the page (code bracket icon)
Highlight colour on 1, 5, 10 with tag "Start here".
Footer: Muhammad Mehrooz Shafique · Permanent SEO
CTA BANNER (bottom, navy rounded box, white text, keyword in blue): Comment "PAGEANATOMY" for Semantic Product Page Audit Scorecard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</si>
  <si>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"Every element of a product page that ranks, labelled."
BODY (numbered points / simple visual): the 3–5 key points from this brief, shortened to max 8 words each:
Single image, annotated product page wireframe, 1080x1350 / 1200x1500.
Headline: ANATOMY OF A SEMANTIC PRODUCT PAGE
Sub-headline: 10 elements. Start with 1, 5 and 10.
Centre: full-length product page wireframe (example product: merino wool jumper), with numbered callout circles connected by thin lines:
1 H1: "Women's Merino Wool Crew Neck Jumper – Navy"
2 Summary: what it is + who it's for (2 lines)
3 Image gallery — alt text per angle
4 Price, stock, variant selector (in HTML, not only JavaScript)
5 Description led by attributes: material, fit, use case, care
6 Specs table
7 FAQ (4–6 real questions)
8 Reviews with detail (fit, use, size chosen)
9 Links: parent collection, related items, buying guide
10 Product + Offer schema matching the page (code bracket icon)
Highlight colour on 1, 5, 10 with tag "Start here".
Footer: Muhammad Mehrooz Shafique · Permanent SEO
BOTTOM BAR: Comment "PAGEANATOMY" for Semantic Product Page Audit Scorecard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</si>
  <si>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PAGEANATOMY</t>
  </si>
  <si>
    <t xml:space="preserve">Semantic Product Page Audit Scorecard (Google Sheet)</t>
  </si>
  <si>
    <t xml:space="preserve">A semantic product page, simply:
H1 with product type → attribute-led description → specs → real FAQs → visible reviews → links → matching schema.
Start with H1, description, schema. #SemanticSEO</t>
  </si>
  <si>
    <t xml:space="preserve">Myth: every variant needs its own page</t>
  </si>
  <si>
    <t xml:space="preserve">We don't create a page for every colour. We start with demand.</t>
  </si>
  <si>
    <t xml:space="preserve">product variant seo</t>
  </si>
  <si>
    <t xml:space="preserve">variant pages seo, shopify variants seo, colour variants duplicate content, product variants canonical</t>
  </si>
  <si>
    <t xml:space="preserve">We don't create a page for every colour.
12 colours, 5 sizes, 60 near-identical URLs.
Same description. Same images except one. Same title except one word.
That splits signals and creates thin pages.
Before giving a variant its own URL, I check three things:
→ Do people actually search for this variant? ("black leather sofa" vs "leather sofa")
→ Is the content meaningfully different? (photos, specs, use case)
→ Can we write a description that's unique to it?
Three yeses → separate page, with its own copy.
Otherwise → one product page, variants as options, one canonical URL.
The goal isn't more pages. It's fewer pages that each deserve to rank.
Comment "VARIANTMYTH" and I'll send you the Variant Page Decision Flowchart (PDF).
#EcommerceSEO #ShopifySEO #TechnicalSEO #ProductPages</t>
  </si>
  <si>
    <t xml:space="preserve">#EcommerceSEO #ShopifySEO #TechnicalSEO #ProductPages</t>
  </si>
  <si>
    <t xml:space="preserve">We don't create a page for every colour.
First ask:
→ Do people search for this variant?
→ Is the content really different?
→ Can we write unique copy for it?
Three yeses → own page.
Otherwise → one page, variants as options.
Share this before your next product launch.
Comment "VARIANTMYTH" for the Variant Page Decision Flowchart (PDF).
#ecommerceseo #shopifyseo #onpageseo #seotips #ecommerce #shopifystore #woocommerce #productpages #semanticseo #onlinestore #seostrategy #ecommercetips #productvariants</t>
  </si>
  <si>
    <t xml:space="preserve">#ecommerceseo #shopifyseo #onpageseo #seotips #ecommerce #shopifystore #woocommerce #productpages #semanticseo #onlinestore #seostrategy #ecommercetips #productvariants</t>
  </si>
  <si>
    <t xml:space="preserve">[0-2s] VO: We don't build a page for every colour. | ON-SCREEN: NOT EVERY COLOUR | VISUAL: Grid of 12 identical sofa cards in different colours
[2-4s] VO: We start with demand. | ON-SCREEN: START WITH DEMAND | VISUAL: Search bar typing "black leather sofa"
[4-7s] VO: Most catalogues grow like this. | ON-SCREEN: MOST CATALOGUES | VISUAL: Pages multiply
[7-8s] VO: Colours. | ON-SCREEN: COLOURS | VISUAL: Swatches
[8-9s] VO: Sizes. | ON-SCREEN: SIZES | VISUAL: S M L XL chips
[9-10s] VO: URLs. | ON-SCREEN: 60 URLS | VISUAL: URL list scrolls fast
[10-13s] VO: But before a variant gets a page, three things need checking. | ON-SCREEN: 3 CHECKS | VISUAL: Checklist appears
[13-16s] VO: Do people search for it? | ON-SCREEN: SEARCHED? | VISUAL: Tick 1
[16-19s] VO: Is the content really different? | ON-SCREEN: DIFFERENT? | VISUAL: Tick 2
[19-22s] VO: Can you write unique copy for it? | ON-SCREEN: UNIQUE COPY? | VISUAL: Tick 3
[22-25s] VO: Without those answers, variants don't create reach. | ON-SCREEN: NO REACH | VISUAL: 60 pages greyed out
[25-28s] VO: They create duplicates. | ON-SCREEN: DUPLICATES | VISUAL: Pages stack into one pile
[28-31s] VO: Fewer pages. | ON-SCREEN: FEWER PAGES | VISUAL: Pile collapses to one strong page
[31-34s] VO: Each one deserving to rank. | ON-SCREEN: COMMENT "VARIANTMYTH" | VISUAL: CTA card, Muhammad Mehrooz Shafique ·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</si>
  <si>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build a page for every colour. | ON-SCREEN: NOT EVERY COLOUR | VISUAL: Grid of 12 identical sofa cards in different colours
[2-4s] VO: We start with demand. | ON-SCREEN: START WITH DEMAND | VISUAL: Search bar typing "black leather sofa"
[4-7s] VO: Most catalogues grow like this. | ON-SCREEN: MOST CATALOGUES | VISUAL: Pages multiply
[7-8s] VO: Colours. | ON-SCREEN: COLOURS | VISUAL: Swatches
[8-9s] VO: Sizes. | ON-SCREEN: SIZES | VISUAL: S M L XL chips
[9-10s] VO: URLs. | ON-SCREEN: 60 URLS | VISUAL: URL list scrolls fast
[10-13s] VO: But before a variant gets a page, three things need checking. | ON-SCREEN: 3 CHECKS | VISUAL: Checklist appears
[13-16s] VO: Do people search for it? | ON-SCREEN: SEARCHED? | VISUAL: Tick 1
[16-19s] VO: Is the content really different? | ON-SCREEN: DIFFERENT? | VISUAL: Tick 2
[19-22s] VO: Can you write unique copy for it? | ON-SCREEN: UNIQUE COPY? | VISUAL: Tick 3
[22-25s] VO: Without those answers, variants don't create reach. | ON-SCREEN: NO REACH | VISUAL: 60 pages greyed out
[25-28s] VO: They create duplicates. | ON-SCREEN: DUPLICATES | VISUAL: Pages stack into one pile
[28-31s] VO: Fewer pages. | ON-SCREEN: FEWER PAGES | VISUAL: Pile collapses to one strong page
[31-34s] VO: Each one deserving to rank. | ON-SCREEN: COMMENT "VARIANTMYTH" | VISUAL: CTA card, Muhammad Mehrooz Shafique · Permanent SEO
Final 3 s: dark/navy end card with Permanent SEO logo, 'SEO for E-commerce Brands' and 'Comment "VARIANTMYTH"'. Burned-in captions. All text spelled exactly as written, sharp and legible on mobile; no extra words, no watermarks.</t>
  </si>
  <si>
    <t xml:space="preserve">VARIANTMYTH</t>
  </si>
  <si>
    <t xml:space="preserve">Variant Page Decision Flowchart (PDF)</t>
  </si>
  <si>
    <t xml:space="preserve">We don't build a page for every colour.
Searched? Different? Unique copy possible? Three yeses → own page. Otherwise one page, variants as options.
#EcommerceSEO #ShopifySEO</t>
  </si>
  <si>
    <t xml:space="preserve">Product Variant SEO: Should Every Colour Get Its Own Page?</t>
  </si>
  <si>
    <t xml:space="preserve">Product variant SEO decides whether colours and sizes deserve their own URLs. Three checks to avoid thin, duplicate variant pages on Shopify and WooCommerce. #Shorts</t>
  </si>
  <si>
    <t xml:space="preserve">product variant seo, shopify variants, duplicate content, ecommerce seo, canonical tags, product page seo, woocommerce seo, technical seo, variant pages</t>
  </si>
  <si>
    <t xml:space="preserve">Fixing thin product pages: the Permanent SEO rebuild process</t>
  </si>
  <si>
    <t xml:space="preserve">A photo, a price and 30 words is a thin product page.</t>
  </si>
  <si>
    <t xml:space="preserve">thin product pages</t>
  </si>
  <si>
    <t xml:space="preserve">thin content ecommerce, improve product pages seo, product page optimisation, low quality product pages</t>
  </si>
  <si>
    <t xml:space="preserve">Your product page has a photo, a price and 30 words. That's thin.
Thin doesn't only mean short.
It means the page doesn't give Google or the shopper enough to understand the product, or a reason to choose it.
Signs I look for in an audit:
→ Descriptions copied from the supplier
→ No attributes beyond the title
→ No FAQs, no reviews, no specs
→ Pages with impressions but almost no clicks
→ Dozens of near-identical variant pages
Our rebuild process:
→ Step 1: Sort products by revenue and impressions. Fix the top first.
→ Step 2: Collect inputs: attributes, customer questions, return reasons, reviews.
→ Step 3: Rebuild the page: clean H1, summary, attribute-led copy, specs, FAQ.
→ Step 4: Connect it: schema that matches, links from collections and blog posts.
Out-of-stock or dead products get their own decision: keep, redirect, or remove.
The video walks through each step on a real page layout.
Comment "THINPAGES" and I'll send you the Thin Product Page Rebuild SOP (Google Doc).
#EcommerceSEO #ContentQuality #ProductPages #ShopifySEO</t>
  </si>
  <si>
    <t xml:space="preserve">#EcommerceSEO #ContentQuality #ProductPages #ShopifySEO</t>
  </si>
  <si>
    <t xml:space="preserve">Your product page has a photo, a price and 30 words.
That's thin.
The rebuild:
→ Prioritise by revenue + impressions
→ Collect attributes + customer questions
→ Rebuild: H1, summary, specs, FAQ
→ Connect: schema + internal links
Fix the top products first.
Save this for your next audit.
Comment "THINPAGES" for the Thin Product Page Rebuild SOP (Google Doc).
#ecommerceseo #shopifyseo #onpageseo #seotips #ecommerce #shopifystore #woocommerce #productpages #semanticseo #onlinestore #seostrategy #ecommercetips #thincontent</t>
  </si>
  <si>
    <t xml:space="preserve">#ecommerceseo #shopifyseo #onpageseo #seotips #ecommerce #shopifystore #woocommerce #productpages #semanticseo #onlinestore #seostrategy #ecommercetips #thincontent</t>
  </si>
  <si>
    <t xml:space="preserve">Scene 1 [0-8s] VO: Right. Two hundred new products uploaded. Photo, price, one line from the supplier. Job done... right? | VISUAL: Owner clicks "Publish all"; progress bar completes
Scene 2 [8-18s] VO: Let's be honest. Your products might be great. But to Google, those pages say almost nothing. | VISUAL: Product page shrinks to a few words in a text-only view
Scene 3 [18-28s] VO: So they sit there for months. Impressions, no clicks, no sales. And your competitor with a full page gets the sale. | VISUAL: Search Console row: impressions high, clicks near zero; competitor result highlighted
Scene 4 [28-34s] VO: It's time to rebuild them properly. | VISUAL: Title card: THE THIN PAGE REBUILD
Scene 5 [34-46s] VO: Step one. Sort products by revenue and impressions in Search Console. Fix the top ones first, not all two hundred at once. | VISUAL: Sorted table, top 20 highlighted
Scene 6 [46-60s] VO: Step two. Collect inputs: attributes, customer questions, return reasons and reviews. | VISUAL: Four input cards fly into a folder
Scene 7 [60-74s] VO: Step three. Rebuild the page. Clear H1, short summary, attribute-led copy, specs table, real FAQs. | VISUAL: Wireframe sections build top to bottom
Scene 8 [74-86s] VO: Step four. Connect it. Schema that matches the page, and links from collections and blog posts. | VISUAL: Code bracket + link arrows
Scene 9 [86-94s] VO: For [Client: UK pet supplies store]: [CLIENT RESULT: +X% clicks on rebuilt products in Y months]. | VISUAL: Placeholder chart
Scene 10 [94-106s] VO: Comment THINPAGES for the SOP. Or book a free e-commerce SEO audit with Permanent SEO. | VISUAL: CTA card, Muhammad Mehrooz Shafique</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</si>
  <si>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Right. Two hundred new products uploaded. Photo, price, one line from the supplier. Job done... right? | VISUAL: Owner clicks "Publish all"; progress bar completes
Scene 2 [8-18s] VO: Let's be honest. Your products might be great. But to Google, those pages say almost nothing. | VISUAL: Product page shrinks to a few words in a text-only view
Scene 3 [18-28s] VO: So they sit there for months. Impressions, no clicks, no sales. And your competitor with a full page gets the sale. | VISUAL: Search Console row: impressions high, clicks near zero; competitor result highlighted
Scene 4 [28-34s] VO: It's time to rebuild them properly. | VISUAL: Title card: THE THIN PAGE REBUILD
Scene 5 [34-46s] VO: Step one. Sort products by revenue and impressions in Search Console. Fix the top ones first, not all two hundred at once. | VISUAL: Sorted table, top 20 highlighted
Scene 6 [46-60s] VO: Step two. Collect inputs: attributes, customer questions, return reasons and reviews. | VISUAL: Four input cards fly into a folder
Scene 7 [60-74s] VO: Step three. Rebuild the page. Clear H1, short summary, attribute-led copy, specs table, real FAQs. | VISUAL: Wireframe sections build top to bottom
Scene 8 [74-86s] VO: Step four. Connect it. Schema that matches the page, and links from collections and blog posts. | VISUAL: Code bracket + link arrows
Scene 9 [86-94s] VO: For [Client: UK pet supplies store]: [CLIENT RESULT: +X% clicks on rebuilt products in Y months]. | VISUAL: Placeholder chart
Scene 10 [94-106s] VO: Comment THINPAGES for the SOP. Or book a free e-commerce SEO audit with Permanent SEO. | VISUAL: CTA card, Muhammad Mehrooz Shafique
End card: Permanent SEO logo + 'Comment "THINPAGES"'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</si>
  <si>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Right. Two hundred new products uploaded. Photo, price, one line from the supplier. Job done... right? | VISUAL: Owner clicks "Publish all"; progress bar completes
Scene 2 [8-18s] VO: Let's be honest. Your products might be great. But to Google, those pages say almost nothing. | VISUAL: Product page shrinks to a few words in a text-only view
Scene 3 [18-28s] VO: So they sit there for months. Impressions, no clicks, no sales. And your competitor with a full page gets the sale. | VISUAL: Search Console row: impressions high, clicks near zero; competitor result highlighted
Scene 4 [28-34s] VO: It's time to rebuild them properly. | VISUAL: Title card: THE THIN PAGE REBUILD
Scene 5 [34-46s] VO: Step one. Sort products by revenue and impressions in Search Console. Fix the top ones first, not all two hundred at once. | VISUAL: Sorted table, top 20 highlighted
Scene 6 [46-60s] VO: Step two. Collect inputs: attributes, customer questions, return reasons and reviews. | VISUAL: Four input cards fly into a folder
Scene 7 [60-74s] VO: Step three. Rebuild the page. Clear H1, short summary, attribute-led copy, specs table, real FAQs. | VISUAL: Wireframe sections build top to bottom
Scene 8 [74-86s] VO: Step four. Connect it. Schema that matches the page, and links from collections and blog posts. | VISUAL: Code bracket + link arrows
Scene 9 [86-94s] VO: For [Client: UK pet supplies store]: [CLIENT RESULT: +X% clicks on rebuilt products in Y months]. | VISUAL: Placeholder chart
Scene 10 [94-106s] VO: Comment THINPAGES for the SOP. Or book a free e-commerce SEO audit with Permanent SEO. | VISUAL: CTA card, Muhammad Mehrooz Shafique
Final 3 s: dark/navy end card with Permanent SEO logo, 'SEO for E-commerce Brands' and 'Comment "THINPAGES"'. Burned-in captions. All text spelled exactly as written, sharp and legible on mobile; no extra words, no watermarks.</t>
  </si>
  <si>
    <t xml:space="preserve">THINPAGES</t>
  </si>
  <si>
    <t xml:space="preserve">Thin Product Page Rebuild SOP (Google Doc)</t>
  </si>
  <si>
    <t xml:space="preserve">Photo, price, 30 words = thin product page.
Prioritise by revenue. Collect attributes + questions. Rebuild H1, summary, specs, FAQ. Connect schema + links.
#EcommerceSEO</t>
  </si>
  <si>
    <t xml:space="preserve">Thin Product Pages: How to Rebuild Them for SEO</t>
  </si>
  <si>
    <t xml:space="preserve">Thin product pages get impressions but few clicks. Muhammad Mehrooz Shafique of Permanent SEO explains a four-step rebuild process for e-commerce stores: prioritise, collect inputs, rebuild, connect.</t>
  </si>
  <si>
    <t xml:space="preserve">thin product pages, thin content, product page seo, ecommerce seo, shopify seo, woocommerce seo, content quality, product descriptions, on-page seo, permanent seo</t>
  </si>
  <si>
    <t xml:space="preserve">Free guide: The Semantic Product Page Playbook</t>
  </si>
  <si>
    <t xml:space="preserve">Everything from January on product and category pages, in one guide.</t>
  </si>
  <si>
    <t xml:space="preserve">product page seo guide</t>
  </si>
  <si>
    <t xml:space="preserve">ecommerce on-page seo guide, semantic seo for ecommerce, product page optimisation guide, category page seo guide</t>
  </si>
  <si>
    <t xml:space="preserve">Everything from January on product and category pages, in one guide.
This month I covered on-page SEO for the pages that actually make money.
Titles. Descriptions. Category copy. Schema. Reviews. URLs. Internal links.
A lot of you asked for it in one place. So here it is.
The Semantic Product Page Playbook has 10 chapters:
→ 1. Keyword mapping: products vs collections
→ 2. Product title formulas
→ 3. Entity-rich descriptions
→ 4. Replacing manufacturer copy
→ 5. Category page copy and heading maps
→ 6. FAQs from real customer questions
→ 7. Product schema and merchant listings
→ 8. Reviews and image alt text
→ 9. URLs and variants
→ 10. Meta titles and internal links
Each chapter has a checklist and examples you can apply the same day.
No theory you can't use.
If you run a Shopify or WooCommerce store, start with chapter 1. It decides what every other page should target.
Comment "PAGEPLAYBOOK" and I'll send you the Semantic Product Page Playbook (10-chapter PDF).
#EcommerceSEO #SemanticSEO #ProductPages #ShopifySEO #OnPageSEO</t>
  </si>
  <si>
    <t xml:space="preserve">#EcommerceSEO #SemanticSEO #ProductPages #ShopifySEO #OnPageSEO</t>
  </si>
  <si>
    <t xml:space="preserve">January in one guide.
The Semantic Product Page Playbook:
→ Keyword mapping
→ Product titles
→ Entity-rich descriptions
→ Category copy + headings
→ FAQs, schema, reviews
→ URLs, variants, meta titles
10 chapters. Checklists in each.
Save this and share it with your team.
Comment "PAGEPLAYBOOK" for the Semantic Product Page Playbook (10-chapter PDF).
#ecommerceseo #shopifyseo #onpageseo #seotips #ecommerce #shopifystore #woocommerce #productpages #semanticseo #onlinestore #seostrategy #ecommercetips #freeguide</t>
  </si>
  <si>
    <t xml:space="preserve">#ecommerceseo #shopifyseo #onpageseo #seotips #ecommerce #shopifystore #woocommerce #productpages #semanticseo #onlinestore #seostrategy #ecommercetips #freeguide</t>
  </si>
  <si>
    <t xml:space="preserve">Single image, "guide preview" cover, 1080x1350 / 1200x1500.
Top label: FREE GUIDE · PERMANENT SEO
Headline (bold condensed): THE SEMANTIC PRODUCT PAGE PLAYBOOK
Sub-headline: On-page SEO for product &amp; category pages. 10 chapters. Checklists included.
Left: 3D mock PDF cover with a product page wireframe on the front.
Right: numbered contents:
01 Keyword mapping: products vs collections
02 Product title formulas
03 Entity-rich descriptions
04 Replacing manufacturer copy
05 Category copy &amp; heading maps
06 FAQs from real customer questions
07 Product schema &amp; merchant listings
08 Reviews &amp; image alt text
09 URLs &amp; variants
10 Meta titles &amp; internal links
Bottom banner (full width, brand colour): Comment "PAGEPLAYBOOK" for free access
Footer: Muhammad Mehrooz Shafique · Co-Founder,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</si>
  <si>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"Everything from January on product and category pages, in one guide."
SUBHEAD: "Free guide: The Semantic Product Page Playbook"
MAIN VISUAL: the layout described below containing exactly: 
Single image, "guide preview" cover, 1080x1350 / 1200x1500.
Top label: FREE GUIDE · PERMANENT SEO
Headline (bold condensed): THE SEMANTIC PRODUCT PAGE PLAYBOOK
Sub-headline: On-page SEO for product &amp; category pages. 10 chapters. Checklists included.
Left: 3D mock PDF cover with a product page wireframe on the front.
Right: numbered contents:
01 Keyword mapping: products vs collections
02 Product title formulas
03 Entity-rich descriptions
04 Replacing manufacturer copy
05 Category copy &amp; heading maps
06 FAQs from real customer questions
07 Product schema &amp; merchant listings
08 Reviews &amp; image alt text
09 URLs &amp; variants
10 Meta titles &amp; internal links
Bottom banner (full width, brand colour): Comment "PAGEPLAYBOOK" for free access
Footer: Muhammad Mehrooz Shafique · Co-Founder, Permanent SEO
CTA BANNER (bottom, navy rounded box, white text, keyword in blue): Comment "PAGEPLAYBOOK" for Semantic Product Page Playbook (10-chapter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</si>
  <si>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"Everything from January on product and category pages, in one guide."
BODY (numbered points / simple visual): the 3–5 key points from this brief, shortened to max 8 words each:
Single image, "guide preview" cover, 1080x1350 / 1200x1500.
Top label: FREE GUIDE · PERMANENT SEO
Headline (bold condensed): THE SEMANTIC PRODUCT PAGE PLAYBOOK
Sub-headline: On-page SEO for product &amp; category pages. 10 chapters. Checklists included.
Left: 3D mock PDF cover with a product page wireframe on the front.
Right: numbered contents:
01 Keyword mapping: products vs collections
02 Product title formulas
03 Entity-rich descriptions
04 Replacing manufacturer copy
05 Category copy &amp; heading maps
06 FAQs from real customer questions
07 Product schema &amp; merchant listings
08 Reviews &amp; image alt text
09 URLs &amp; variants
10 Meta titles &amp; internal links
Bottom banner (full width, brand colour): Comment "PAGEPLAYBOOK" for free access
Footer: Muhammad Mehrooz Shafique · Co-Founder, Permanent SEO
BOTTOM BAR: Comment "PAGEPLAYBOOK" for Semantic Product Page Playbook (10-chapter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</si>
  <si>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PAGEPLAYBOOK</t>
  </si>
  <si>
    <t xml:space="preserve">Semantic Product Page Playbook (10-chapter PDF)</t>
  </si>
  <si>
    <t xml:space="preserve">January's posts on product and category page SEO, in one free guide.
10 chapters: keyword mapping, titles, descriptions, category copy, FAQs, schema, reviews, URLs, meta titles.
#EcommerceSEO #SemanticSEO</t>
  </si>
  <si>
    <t xml:space="preserve">Feb 2027</t>
  </si>
  <si>
    <t xml:space="preserve">Semantic SEO &amp; Topical Authority for E-commerce</t>
  </si>
  <si>
    <t xml:space="preserve">How to build a topical map for a product niche in 7 steps</t>
  </si>
  <si>
    <t xml:space="preserve">Your store doesn't need more content. It needs a topical map.</t>
  </si>
  <si>
    <t xml:space="preserve">topical map for ecommerce</t>
  </si>
  <si>
    <t xml:space="preserve">topical authority ecommerce, content map for online store, ecommerce content strategy, semantic seo for shopify</t>
  </si>
  <si>
    <t xml:space="preserve">Most stores publish blog posts at random. Then wonder why Google ignores them.
Topical authority isn't about volume. It's about covering your product niche completely, in a logical order, with every page connected.
That's what a topical map does. Here's how I build one for a store:
→ Step 1: Define the central entity (what you sell, e.g. "espresso machines")
→ Step 2: List the attributes buyers care about (boiler type, pressure, size, price band)
→ Step 3: Map the questions per attribute (how, which, best, vs, is it worth)
→ Step 4: Sort each query by intent: informational, commercial, transactional
→ Step 5: Group them into clusters under a pillar page
→ Step 6: Assign each cluster to a collection and its products
→ Step 7: Plan internal links before you write a single word
The order matters. Core topics first. Edge topics later.
A store with 40 connected pages on one niche will usually beat a store with 200 random posts.
The map is the strategy. The content is just execution.
Comment "TOPICMAP" and I'll send you the E-commerce Topical Map Template I use with clients.
#EcommerceSEO #TopicalAuthority #SemanticSEO #ShopifySEO</t>
  </si>
  <si>
    <t xml:space="preserve">#EcommerceSEO #TopicalAuthority #SemanticSEO #ShopifySEO</t>
  </si>
  <si>
    <t xml:space="preserve">Random blog posts don't build authority. A topical map does.
→ Pick your central entity
→ List the attributes buyers compare
→ Map every question per attribute
→ Sort by intent
→ Cluster under pillars, link to collections and products
Core topics first. Edge topics later. Forty connected pages beat two hundred random ones.
Save this before you plan next quarter's content.
Comment "TOPICMAP" for the E-commerce Topical Map Template.
#ecommerceseo #topicalauthority #semanticseo #shopifyseo #seotips #contentstrategy #onlinestore #ecommercetips #woocommerce #seoforbeginners #searchengineoptimization #ecommercemarketing</t>
  </si>
  <si>
    <t xml:space="preserve">#ecommerceseo #topicalauthority #semanticseo #shopifyseo #seotips #contentstrategy #onlinestore #ecommercetips #woocommerce #seoforbeginners #searchengineoptimization #ecommercemarketing</t>
  </si>
  <si>
    <t xml:space="preserve">Slide 1: Your store doesn't need more content. It needs a topical map. | Swipe for the 7-step method I use for e-commerce brands
Slide 2: What is a topical map? | A plan of every topic, question and page your store needs to be seen as the expert in its niche
Slide 3: Step 1 — Define the central entity | The one thing you sell. Example: "espresso machines", not "coffee"
Slide 4: Step 2 — List the attributes | Boiler type, pressure, size, milk system, price band. These become your content angles
Slide 5: Step 3 — Map the questions | For each attribute: how, which, best, vs, is it worth it. Pull from Google PAA, GSC queries, customer support emails
Slide 6: Step 4 — Sort by intent | Informational → guide. Commercial → comparison / best-for. Transactional → collection or product page
Slide 7: Step 5 — Build clusters | One pillar guide per core topic, 5–12 supporting articles beneath it
Slide 8: Step 6 — Connect to revenue pages | Every cluster links to its collection. Every collection links to top products
Slide 9: Step 7 — Plan links first, write second | Core topics first, edge topics later. The map is the strategy
Slide 10: Want my template? | Comment "TOPICMAP" for the E-commerce Topical Map Template + follow Muhammad Mehrooz Shafique for more store SEO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</si>
  <si>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Your store doesn't need more content. It needs a topical map. | Swipe for the 7-step method I use for e-commerce brands
Slide 2: What is a topical map? | A plan of every topic, question and page your store needs to be seen as the expert in its niche
Slide 3: Step 1 — Define the central entity | The one thing you sell. Example: "espresso machines", not "coffee"
Slide 4: Step 2 — List the attributes | Boiler type, pressure, size, milk system, price band. These become your content angles
Slide 5: Step 3 — Map the questions | For each attribute: how, which, best, vs, is it worth it. Pull from Google PAA, GSC queries, customer support emails
Slide 6: Step 4 — Sort by intent | Informational → guide. Commercial → comparison / best-for. Transactional → collection or product page
Slide 7: Step 5 — Build clusters | One pillar guide per core topic, 5–12 supporting articles beneath it
Slide 8: Step 6 — Connect to revenue pages | Every cluster links to its collection. Every collection links to top products
Slide 9: Step 7 — Plan links first, write second | Core topics first, edge topics later. The map is the strategy
Slide 10: Want my template? | Comment "TOPICMAP" for the E-commerce Topical Map Template + follow Muhammad Mehrooz Shafique for more store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</si>
  <si>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Your store doesn't need more content. It needs a topical map. | Swipe for the 7-step method I use for e-commerce brands
Slide 2: What is a topical map? | A plan of every topic, question and page your store needs to be seen as the expert in its niche
Slide 3: Step 1 — Define the central entity | The one thing you sell. Example: "espresso machines", not "coffee"
Slide 4: Step 2 — List the attributes | Boiler type, pressure, size, milk system, price band. These become your content angles
Slide 5: Step 3 — Map the questions | For each attribute: how, which, best, vs, is it worth it. Pull from Google PAA, GSC queries, customer support emails
Slide 6: Step 4 — Sort by intent | Informational → guide. Commercial → comparison / best-for. Transactional → collection or product page
Slide 7: Step 5 — Build clusters | One pillar guide per core topic, 5–12 supporting articles beneath it
Slide 8: Step 6 — Connect to revenue pages | Every cluster links to its collection. Every collection links to top products
Slide 9: Step 7 — Plan links first, write second | Core topics first, edge topics later. The map is the strategy
Slide 10: Want my template? | Comment "TOPICMAP" for the E-commerce Topical Map Template + follow Muhammad Mehrooz Shafique for more store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</si>
  <si>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TOPICMAP</t>
  </si>
  <si>
    <t xml:space="preserve">E-commerce Topical Map Template (Google Sheet with 5 tabs: entities, attributes, intents, clusters, URLs)</t>
  </si>
  <si>
    <t xml:space="preserve">Most e-commerce stores don't need more blog posts.
They need a topical map.
Here's the 7-step process I use for product niches
---
1. Define the central entity.
What you actually sell. "Espresso machines", not "coffee".
2. List the attributes buyers compare: boiler type, pressure, size, price band.
---
3. Map the questions for each attribute: how, which, best, vs, is it worth it.
Sources: People Also Ask, your GSC queries, customer support emails.
---
4. Sort every query by intent.
Informational → guide
Commercial → comparison / best-for
Transactional → collection or product page
---
5. Group into clusters under one pillar page.
6. Link every cluster to its collection, and every collection to its top products.
---
7. Plan internal links before writing anything.
Core topics first. Edge topics later.
The map is the strategy. Content is execution. #EcommerceSEO #SemanticSEO</t>
  </si>
  <si>
    <t xml:space="preserve">How I plan content for a single product niche before writing anything (topical map process)</t>
  </si>
  <si>
    <t xml:space="preserve">I see a lot of store owners publishing blog posts based on whatever keyword tool shows that week. The posts rarely connect to each other or to the products, so they don't build much.
Here's the process I follow instead:
1. Pick the central entity. The specific thing you sell, not the broad category.
2. List the attributes buyers compare. For espresso machines: boiler type, pressure, grinder included, footprint, price band.
3. For each attribute, collect real questions. People Also Ask, Search Console queries and support emails are the best sources.
4. Sort each question by intent. Learning questions become guides. Comparing questions become "X vs Y" or "best X for Y" pages. Ready-to-buy queries belong on collections or product pages.
5. Group everything into clusters with one pillar page each.
6. Decide internal links upfront: cluster to collection, collection to products.
The biggest change for me was writing core topics first and leaving edge topics for later, instead of chasing whatever had volume.
How do you decide what content to write first for a store?</t>
  </si>
  <si>
    <t xml:space="preserve">Search intent matrix: which page type ranks for which query</t>
  </si>
  <si>
    <t xml:space="preserve">Wrong page type, wrong intent, no rankings. Here's the fix.</t>
  </si>
  <si>
    <t xml:space="preserve">search intent ecommerce</t>
  </si>
  <si>
    <t xml:space="preserve">informational vs commercial vs transactional, keyword intent mapping, ecommerce page types, collection page vs blog post</t>
  </si>
  <si>
    <t xml:space="preserve">A store owner asked me why his blog post for "buy running shoes" wasn't ranking.
Simple. Google doesn't want a blog post for that query. It wants a collection page.
Intent decides the page type. Not you.
Here's the matrix I use:
→ Informational ("how to clean suede trainers") → blog guide
→ Commercial ("best running shoes for flat feet") → comparison or best-for page
→ Commercial ("Brand A vs Brand B") → versus page
→ Transactional ("men's trail running shoes") → collection page
→ Transactional ("Brand A Model 5 size 10") → product page
How to check: Google the query. Look at the top 10. If 8 are collection pages, write a collection page. Don't fight the SERP.
The mistake I see most: stores trying to rank product pages for informational queries, and blog posts for buying queries.
Match the page to the intent first. Then optimise.
Comment "QUERYINTENT" and I'll send you the Search Intent Mapping Sheet for Online Stores.
#EcommerceSEO #SearchIntent #SemanticSEO #ContentStrategy</t>
  </si>
  <si>
    <t xml:space="preserve">#EcommerceSEO #SearchIntent #SemanticSEO #ContentStrategy</t>
  </si>
  <si>
    <t xml:space="preserve">Google decides the page type. Not you.
→ "How to..." = blog guide
→ "Best X for Y" = comparison page
→ "X vs Y" = versus page
→ "Men's trail shoes" = collection page
→ "Model 5 size 10" = product page
Check the top 10 results before you write anything. Don't fight the SERP.
Save this for your next content plan.
Comment "QUERYINTENT" for the Search Intent Mapping Sheet.
#ecommerceseo #searchintent #semanticseo #seotips #shopifyseo #keywordresearch #contentmarketing #onlinestore #ecommercebusiness #seostrategy #woocommerceseo #digitalmarketingtips</t>
  </si>
  <si>
    <t xml:space="preserve">#ecommerceseo #searchintent #semanticseo #seotips #shopifyseo #keywordresearch #contentmarketing #onlinestore #ecommercebusiness #seostrategy #woocommerceseo #digitalmarketingtips</t>
  </si>
  <si>
    <t xml:space="preserve">Single infographic, 1080x1350 (LinkedIn + Instagram).
Headline (top, bold condensed): WHICH PAGE RANKS FOR WHICH QUERY?
Sub-headline: The e-commerce search intent matrix
Layout: 4-column table with 5 rows, alternating row shading, brand colour header row.
Header row: Intent | Example query | Page type to build | Primary goal
Row 1: Informational | "how to clean suede trainers" | Blog guide | Educate + link to collection
Row 2: Commercial | "best running shoes for flat feet" | Best-for / buying guide | Shortlist products
Row 3: Commercial | "Brand A vs Brand B" | Versus page | Help the final decision
Row 4: Transactional | "men's trail running shoes" | Collection page | Browse + filter
Row 5: Transactional | "Brand A Model 5 size 10" | Product page | Add to cart
Below table, a callout box with a magnifying-glass icon: "The test: Google the query. If 8 of the top 10 are collection pages, build a collection page."
Footer strip: Muhammad Mehrooz Shafique | Co-Founder, Permanent SEO | Comment "QUERYINTENT" for the mapping sheet</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</si>
  <si>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"Wrong page type, wrong intent, no rankings. Here's the fix."
SUBHEAD: "Search intent matrix: which page type ranks for which query"
MAIN VISUAL: the layout described below containing exactly: 
Single infographic, 1080x1350 (LinkedIn + Instagram).
Headline (top, bold condensed): WHICH PAGE RANKS FOR WHICH QUERY?
Sub-headline: The e-commerce search intent matrix
Layout: 4-column table with 5 rows, alternating row shading, brand colour header row.
Header row: Intent | Example query | Page type to build | Primary goal
Row 1: Informational | "how to clean suede trainers" | Blog guide | Educate + link to collection
Row 2: Commercial | "best running shoes for flat feet" | Best-for / buying guide | Shortlist products
Row 3: Commercial | "Brand A vs Brand B" | Versus page | Help the final decision
Row 4: Transactional | "men's trail running shoes" | Collection page | Browse + filter
Row 5: Transactional | "Brand A Model 5 size 10" | Product page | Add to cart
Below table, a callout box with a magnifying-glass icon: "The test: Google the query. If 8 of the top 10 are collection pages, build a collection page."
Footer strip: Muhammad Mehrooz Shafique | Co-Founder, Permanent SEO | Comment "QUERYINTENT" for the mapping sheet
CTA BANNER (bottom, navy rounded box, white text, keyword in blue): Comment "QUERYINTENT" for Search Intent Mapping Sheet for Online Stores (Google Sheet with intent rules and page-type picker)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</si>
  <si>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"Wrong page type, wrong intent, no rankings. Here's the fix."
BODY (numbered points / simple visual): the 3–5 key points from this brief, shortened to max 8 words each:
Single infographic, 1080x1350 (LinkedIn + Instagram).
Headline (top, bold condensed): WHICH PAGE RANKS FOR WHICH QUERY?
Sub-headline: The e-commerce search intent matrix
Layout: 4-column table with 5 rows, alternating row shading, brand colour header row.
Header row: Intent | Example query | Page type to build | Primary goal
Row 1: Informational | "how to clean suede trainers" | Blog guide | Educate + link to collection
Row 2: Commercial | "best running shoes for flat feet" | Best-for / buying guide | Shortlist products
Row 3: Commercial | "Brand A vs Brand B" | Versus page | Help the final decision
Row 4: Transactional | "men's trail running shoes" | Collection page | Browse + filter
Row 5: Transactional | "Brand A Model 5 size 10" | Product page | Add to cart
Below table, a callout box with a magnifying-glass icon: "The test: Google the query. If 8 of the top 10 are collection pages, build a collection page."
Footer strip: Muhammad Mehrooz Shafique | Co-Founder, Permanent SEO | Comment "QUERYINTENT" for the mapping sheet
BOTTOM BAR: Comment "QUERYINTENT" for Search Intent Mapping Sheet for Online Stores (Google Sheet with intent rules and page-type picker)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</si>
  <si>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QUERYINTENT</t>
  </si>
  <si>
    <t xml:space="preserve">Search Intent Mapping Sheet for Online Stores (Google Sheet with intent rules and page-type picker)</t>
  </si>
  <si>
    <t xml:space="preserve">Your blog post for "buy running shoes" won't rank.
Google wants a collection page for that.
Intent picks the page type:
How-to → guide
Best X for Y → comparison
X vs Y → versus page
Category term → collection
Model + size → product
Check the top 10 first. #EcommerceSEO</t>
  </si>
  <si>
    <t xml:space="preserve">Myth: more blog posts build topical authority</t>
  </si>
  <si>
    <t xml:space="preserve">We don't publish more. We publish what's missing.</t>
  </si>
  <si>
    <t xml:space="preserve">topical authority</t>
  </si>
  <si>
    <t xml:space="preserve">content gaps ecommerce, topical coverage, semantic seo myths, blog strategy for online stores</t>
  </si>
  <si>
    <t xml:space="preserve">We don't publish more. We publish what's missing.
A lot of store owners think topical authority is a numbers game. Four posts a week. Two hundred posts a year.
It isn't.
Before we write anything for a client, we answer three questions:
→ Which core topics in this niche are still uncovered?
→ Which existing pages overlap and compete with each other?
→ Which pages don't link to the products they should sell?
Without those answers, more posts just create more pages for Google to crawl and ignore.
Often the better move isn't a new post. It's filling one missing core topic, merging two overlapping posts, or adding a link from a guide to the collection it should sell.
Coverage beats volume. Connection beats coverage.
Comment "COVERAGE" and I'll send you the Topical Coverage Gap Checklist.
#TopicalAuthority #EcommerceSEO #SemanticSEO #SEOMyths</t>
  </si>
  <si>
    <t xml:space="preserve">#TopicalAuthority #EcommerceSEO #SemanticSEO #SEOMyths</t>
  </si>
  <si>
    <t xml:space="preserve">More posts won't make you an authority.
Covering what's missing will.
Before you write, check:
→ Which core topics are uncovered?
→ Which pages compete with each other?
→ Which posts don't link to products?
Coverage beats volume. Connection beats coverage. Fill the gaps first.
Share this with someone posting 4x a week for nothing.
Comment "COVERAGE" for the Topical Coverage Gap Checklist.
#topicalauthority #ecommerceseo #semanticseo #seomyths #seotips #contentstrategy #blogging #shopifyseo #onlinestore #seoexpert #reelsforbusiness #ecommercetips</t>
  </si>
  <si>
    <t xml:space="preserve">#topicalauthority #ecommerceseo #semanticseo #seomyths #seotips #contentstrategy #blogging #shopifyseo #onlinestore #seoexpert #reelsforbusiness #ecommercetips</t>
  </si>
  <si>
    <t xml:space="preserve">[0-2s] VO: We don't publish more. | ON-SCREEN: WE DON'T PUBLISH MORE. | VISUAL: Black screen, bold white kinetic text slams in
[2-4s] VO: We publish what's missing. | ON-SCREEN: WE PUBLISH WHAT'S MISSING. | VISUAL: Text flips, a puzzle with one missing piece appears
[4-7s] VO: Most content plans start here. | ON-SCREEN: MOST CONTENT PLANS START HERE | VISUAL: Calendar filling with blog post icons
[7-8s] VO: Volume. | ON-SCREEN: VOLUME. | VISUAL: Single word, centred
[8-9s] VO: Frequency. | ON-SCREEN: FREQUENCY. | VISUAL: Single word, centred
[9-10s] VO: Keywords. | ON-SCREEN: KEYWORDS. | VISUAL: Single word, centred
[10-13s] VO: But first, three things need to be clear. | ON-SCREEN: BUT FIRST, 3 THINGS | VISUAL: Numbers 1-2-3 stack in
[13-16s] VO: Which core topics are still uncovered? | ON-SCREEN: 1. WHAT'S UNCOVERED? | VISUAL: Topical map with grey empty nodes
[16-19s] VO: Which pages compete with each other? | ON-SCREEN: 2. WHAT OVERLAPS? | VISUAL: Two page icons colliding
[19-22s] VO: Which posts never link to a product? | ON-SCREEN: 3. WHAT'S DISCONNECTED? | VISUAL: Blog icon with broken link to a product card
[22-25s] VO: Without that, more blog posts don't build authority. | ON-SCREEN: MORE POSTS ≠ AUTHORITY | VISUAL: Pile of pages fading out
[25-27s] VO: They just build crawl waste. | ON-SCREEN: THEY BUILD CRAWL WASTE. | VISUAL: Text in red
[27-31s] VO: Coverage beats volume. Comment coverage. | ON-SCREEN: COVERAGE BEATS VOLUME. Comment "COVERAGE" | VISUAL: Completed puzzle, logo + handle</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</si>
  <si>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publish more. | ON-SCREEN: WE DON'T PUBLISH MORE. | VISUAL: Black screen, bold white kinetic text slams in
[2-4s] VO: We publish what's missing. | ON-SCREEN: WE PUBLISH WHAT'S MISSING. | VISUAL: Text flips, a puzzle with one missing piece appears
[4-7s] VO: Most content plans start here. | ON-SCREEN: MOST CONTENT PLANS START HERE | VISUAL: Calendar filling with blog post icons
[7-8s] VO: Volume. | ON-SCREEN: VOLUME. | VISUAL: Single word, centred
[8-9s] VO: Frequency. | ON-SCREEN: FREQUENCY. | VISUAL: Single word, centred
[9-10s] VO: Keywords. | ON-SCREEN: KEYWORDS. | VISUAL: Single word, centred
[10-13s] VO: But first, three things need to be clear. | ON-SCREEN: BUT FIRST, 3 THINGS | VISUAL: Numbers 1-2-3 stack in
[13-16s] VO: Which core topics are still uncovered? | ON-SCREEN: 1. WHAT'S UNCOVERED? | VISUAL: Topical map with grey empty nodes
[16-19s] VO: Which pages compete with each other? | ON-SCREEN: 2. WHAT OVERLAPS? | VISUAL: Two page icons colliding
[19-22s] VO: Which posts never link to a product? | ON-SCREEN: 3. WHAT'S DISCONNECTED? | VISUAL: Blog icon with broken link to a product card
[22-25s] VO: Without that, more blog posts don't build authority. | ON-SCREEN: MORE POSTS ≠ AUTHORITY | VISUAL: Pile of pages fading out
[25-27s] VO: They just build crawl waste. | ON-SCREEN: THEY BUILD CRAWL WASTE. | VISUAL: Text in red
[27-31s] VO: Coverage beats volume. Comment coverage. | ON-SCREEN: COVERAGE BEATS VOLUME. Comment "COVERAGE" | VISUAL: Completed puzzle, logo + handle
Final 3 s: dark/navy end card with Permanent SEO logo, 'SEO for E-commerce Brands' and 'Comment "COVERAGE"'. Burned-in captions. All text spelled exactly as written, sharp and legible on mobile; no extra words, no watermarks.</t>
  </si>
  <si>
    <t xml:space="preserve">COVERAGE</t>
  </si>
  <si>
    <t xml:space="preserve">Topical Coverage Gap Checklist (PDF, 25 checks for a product niche)</t>
  </si>
  <si>
    <t xml:space="preserve">We don't publish more.
We publish what's missing.
Before writing, answer:
→ What's uncovered?
→ What overlaps?
→ What doesn't link to a product?
Without that, more posts just create crawl waste.
Coverage beats volume. #TopicalAuthority #EcommerceSEO</t>
  </si>
  <si>
    <t xml:space="preserve">Topical Authority Myth: Why More Blog Posts Won't Help Your Store</t>
  </si>
  <si>
    <t xml:space="preserve">Topical authority isn't about publishing more blog posts. It's about covering the gaps in your product niche and connecting every page to what you sell. #Shorts</t>
  </si>
  <si>
    <t xml:space="preserve">topical authority, ecommerce seo, semantic seo, content gaps, blog strategy, shopify seo, seo myths, online store seo, content strategy, topical map</t>
  </si>
  <si>
    <t xml:space="preserve">Valentine's Day gift guides that rank: build it once, keep it yearly</t>
  </si>
  <si>
    <t xml:space="preserve">Your Valentine's gift guide is ten days too late. Again.</t>
  </si>
  <si>
    <t xml:space="preserve">valentine's day gift guide seo</t>
  </si>
  <si>
    <t xml:space="preserve">seasonal seo ecommerce, gift guide page, evergreen seasonal url, holiday landing page seo, valentine's gifts for him</t>
  </si>
  <si>
    <t xml:space="preserve">Most stores publish their Valentine's gift guide on 10 February. Then delete it in March.
That's two mistakes.
Google needs time to crawl, understand and trust a page. Publishing a few days before the peak gives it almost none.
And deleting the URL throws away whatever links and history it earned.
Here's how we build seasonal gift guides for e-commerce clients:
→ One permanent URL, e.g. /valentines-gifts/ (no year in the slug)
→ Split by real recipient intent: for him, for her, under £50, last-minute
→ Every pick has a reason: who it's for, why, and what makes it different
→ Link the guide to the collections and products, not just a list of images
→ Update the year in the title and the picks each January. Never change the URL
The page grows stronger every season instead of starting from zero.
If it's already 4 February for you, publish now and plan next year in January.
Comment "GIFTGUIDE" and I'll send you the Valentine's Gift Guide Page Blueprint.
#EcommerceSEO #SeasonalSEO #ValentinesDay #ShopifySEO</t>
  </si>
  <si>
    <t xml:space="preserve">#EcommerceSEO #SeasonalSEO #ValentinesDay #ShopifySEO</t>
  </si>
  <si>
    <t xml:space="preserve">Your gift guide isn't late this year. It was late last year.
→ Use one permanent URL, no year in the slug
→ Split by recipient: for him, for her, under £50
→ Give a reason for every pick
→ Link to real collections and products
→ Refresh in January. Never delete it
Save this for next season's planning.
Comment "GIFTGUIDE" for the Valentine's Gift Guide Page Blueprint.
#ecommerceseo #seasonalseo #valentinesday #giftguide #shopifyseo #seotips #onlinestore #ecommercemarketing #smallbusinessowner #valentinesgifts #contentstrategy #woocommerce</t>
  </si>
  <si>
    <t xml:space="preserve">#ecommerceseo #seasonalseo #valentinesday #giftguide #shopifyseo #seotips #onlinestore #ecommercemarketing #smallbusinessowner #valentinesgifts #contentstrategy #woocommerce</t>
  </si>
  <si>
    <t xml:space="preserve">Scene 1 [0-8s] VO: Right. Valentine's gift guide is live. Ten days to go. Plenty of time for Google... right? | VISUAL: Store owner at laptop, clicks "Publish", calendar on wall shows 4 Feb with 14 Feb circled in red
Scene 2 [8-18s] VO: Let's be honest. Your problem isn't the products. It's that your gift guide shows up after your buyers have already bought somewhere else. | VISUAL: Search results animate, competitor gift guides sit at the top, client page nowhere
Scene 3 [18-30s] VO: You build a new page every February. Then you delete it in March. Every link it earned and every bit of trust it built goes with it. | VISUAL: Page built, then crumbling; counter reads "Year 1: start from zero. Year 2: start from zero."
Scene 4 [30-36s] VO: It's time to do it differently. | VISUAL: Hard cut to clean brand frame
Scene 5 [36-50s] VO: At Permanent SEO, we build seasonal pages once, then make them stronger every year. Search engines find them early, and AI assistants have a real page to cite. | VISUAL: Single URL /valentines-gifts/ glowing, year labels 2025, 2026, 2027 stacking underneath
Scene 6 [50-62s] VO: Step one. One permanent URL with no year in the slug. | VISUAL: URL bar with year being deleted from slug
Scene 7 [62-74s] VO: Step two. Split it by real buyer intent. For him. For her. Under fifty pounds. Last-minute. | VISUAL: Four tabs slide in
Scene 8 [74-86s] VO: Step three. A reason for every pick, and a link to the collection it belongs to. | VISUAL: Product card with "Why it's here" note, arrow to collection page
Scene 9 [86-96s] VO: Step four. Refresh the picks and title every January. Keep the URL forever. | VISUAL: Calendar flips to January, refresh icon
Scene 10 [96-104s] VO: Result? [CLIENT RESULT: +X% seasonal clicks year on year]. | VISUAL: Placeholder chart with label "[YOUR GSC DATA]"
Scene 11 [104-115s] VO: Comment GIFTGUIDE for the page blueprint. Or book a free e-commerce SEO audit with Permanent SEO. | VISUAL: CTA card, Comment "GIFTGUIDE", logo, Muhammad Mehrooz Shafique name tag</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</si>
  <si>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Right. Valentine's gift guide is live. Ten days to go. Plenty of time for Google... right? | VISUAL: Store owner at laptop, clicks "Publish", calendar on wall shows 4 Feb with 14 Feb circled in red
Scene 2 [8-18s] VO: Let's be honest. Your problem isn't the products. It's that your gift guide shows up after your buyers have already bought somewhere else. | VISUAL: Search results animate, competitor gift guides sit at the top, client page nowhere
Scene 3 [18-30s] VO: You build a new page every February. Then you delete it in March. Every link it earned and every bit of trust it built goes with it. | VISUAL: Page built, then crumbling; counter reads "Year 1: start from zero. Year 2: start from zero."
Scene 4 [30-36s] VO: It's time to do it differently. | VISUAL: Hard cut to clean brand frame
Scene 5 [36-50s] VO: At Permanent SEO, we build seasonal pages once, then make them stronger every year. Search engines find them early, and AI assistants have a real page to cite. | VISUAL: Single URL /valentines-gifts/ glowing, year labels 2025, 2026, 2027 stacking underneath
Scene 6 [50-62s] VO: Step one. One permanent URL with no year in the slug. | VISUAL: URL bar with year being deleted from slug
Scene 7 [62-74s] VO: Step two. Split it by real buyer intent. For him. For her. Under fifty pounds. Last-minute. | VISUAL: Four tabs slide in
Scene 8 [74-86s] VO: Step three. A reason for every pick, and a link to the collection it belongs to. | VISUAL: Product card with "Why it's here" note, arrow to collection page
Scene 9 [86-96s] VO: Step four. Refresh the picks and title every January. Keep the URL forever. | VISUAL: Calendar flips to January, refresh icon
Scene 10 [96-104s] VO: Result? [CLIENT RESULT: +X% seasonal clicks year on year]. | VISUAL: Placeholder chart with label "[YOUR GSC DATA]"
Scene 11 [104-115s] VO: Comment GIFTGUIDE for the page blueprint. Or book a free e-commerce SEO audit with Permanent SEO. | VISUAL: CTA card, Comment "GIFTGUIDE", logo, Muhammad Mehrooz Shafique name tag
End card: Permanent SEO logo + 'Comment "GIFTGUIDE"'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</si>
  <si>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Right. Valentine's gift guide is live. Ten days to go. Plenty of time for Google... right? | VISUAL: Store owner at laptop, clicks "Publish", calendar on wall shows 4 Feb with 14 Feb circled in red
Scene 2 [8-18s] VO: Let's be honest. Your problem isn't the products. It's that your gift guide shows up after your buyers have already bought somewhere else. | VISUAL: Search results animate, competitor gift guides sit at the top, client page nowhere
Scene 3 [18-30s] VO: You build a new page every February. Then you delete it in March. Every link it earned and every bit of trust it built goes with it. | VISUAL: Page built, then crumbling; counter reads "Year 1: start from zero. Year 2: start from zero."
Scene 4 [30-36s] VO: It's time to do it differently. | VISUAL: Hard cut to clean brand frame
Scene 5 [36-50s] VO: At Permanent SEO, we build seasonal pages once, then make them stronger every year. Search engines find them early, and AI assistants have a real page to cite. | VISUAL: Single URL /valentines-gifts/ glowing, year labels 2025, 2026, 2027 stacking underneath
Scene 6 [50-62s] VO: Step one. One permanent URL with no year in the slug. | VISUAL: URL bar with year being deleted from slug
Scene 7 [62-74s] VO: Step two. Split it by real buyer intent. For him. For her. Under fifty pounds. Last-minute. | VISUAL: Four tabs slide in
Scene 8 [74-86s] VO: Step three. A reason for every pick, and a link to the collection it belongs to. | VISUAL: Product card with "Why it's here" note, arrow to collection page
Scene 9 [86-96s] VO: Step four. Refresh the picks and title every January. Keep the URL forever. | VISUAL: Calendar flips to January, refresh icon
Scene 10 [96-104s] VO: Result? [CLIENT RESULT: +X% seasonal clicks year on year]. | VISUAL: Placeholder chart with label "[YOUR GSC DATA]"
Scene 11 [104-115s] VO: Comment GIFTGUIDE for the page blueprint. Or book a free e-commerce SEO audit with Permanent SEO. | VISUAL: CTA card, Comment "GIFTGUIDE", logo, Muhammad Mehrooz Shafique name tag
Final 3 s: dark/navy end card with Permanent SEO logo, 'SEO for E-commerce Brands' and 'Comment "GIFTGUIDE"'. Burned-in captions. All text spelled exactly as written, sharp and legible on mobile; no extra words, no watermarks.</t>
  </si>
  <si>
    <t xml:space="preserve">GIFTGUIDE</t>
  </si>
  <si>
    <t xml:space="preserve">Valentine's Gift Guide Page Blueprint (wireframe + content brief, PDF)</t>
  </si>
  <si>
    <t xml:space="preserve">Publishing your Valentine's gift guide on 10 Feb is late.
Deleting it in March is worse.
One permanent URL. No year in the slug. Refresh the picks each January.
The page gets stronger every season. #EcommerceSEO #ValentinesDay</t>
  </si>
  <si>
    <t xml:space="preserve">Valentine's Day Gift Guide SEO: Build One Page That Ranks Every Year</t>
  </si>
  <si>
    <t xml:space="preserve">Valentine's Day gift guide SEO for e-commerce stores: why publishing in February is too late, and how one permanent seasonal URL gets stronger every year. Muhammad Mehrooz Shafique from Permanent SEO walks through the 4-step method.</t>
  </si>
  <si>
    <t xml:space="preserve">valentine's day gift guide seo, seasonal seo, ecommerce seo, gift guide page, shopify seo, holiday seo, evergreen url, landing page seo, permanent seo, online store marketing</t>
  </si>
  <si>
    <t xml:space="preserve">Case study: one content cluster connected to one collection</t>
  </si>
  <si>
    <t xml:space="preserve">One cluster. One collection. Here's what changed in [X] months.</t>
  </si>
  <si>
    <t xml:space="preserve">content cluster ecommerce</t>
  </si>
  <si>
    <t xml:space="preserve">topic cluster seo, pillar page ecommerce, content cluster case study, blog to collection internal links</t>
  </si>
  <si>
    <t xml:space="preserve">[Client: UK coffee equipment store] had 60+ blog posts. Almost none of them sent traffic to products.
The posts were fine. They just weren't connected to anything.
What we did:
→ Picked ONE collection to focus on: [Collection: espresso grinders]
→ Wrote one pillar guide covering the full buying decision
→ Mapped [X] supporting articles: burr types, grind size, "best grinder for X", "A vs B"
→ Merged [X] old overlapping posts into the cluster with 301 redirects
→ Every article linked to the pillar, and the pillar linked to the collection
→ Added author details showing real hands-on testing
Results after [X] months:
✅ [+X% organic clicks to the collection]
✅ [+X% organic revenue from the grinder category]
✅ [X new queries in top 10, from GSC]
No new products. No link building. Just structure.
Clusters work because Google can see the full topic in one place, and link equity flows to the page that makes money.
Comment "CLUSTERPLAN" and I'll send you the Content Cluster Build Plan we used.
#EcommerceSEO #CaseStudy #TopicalAuthority #ContentClusters</t>
  </si>
  <si>
    <t xml:space="preserve">#EcommerceSEO #CaseStudy #TopicalAuthority #ContentClusters</t>
  </si>
  <si>
    <t xml:space="preserve">60 blog posts. Almost no product traffic.
What we changed:
→ One collection, one pillar guide
→ [X] supporting articles mapped to it
→ Overlapping posts merged and redirected
→ Every article linked back to the collection
Result: [+X% organic revenue in X months]
No new products. No link building. Structure beat volume, and the collection finally got the traffic.
Comment "CLUSTERPLAN" for the Content Cluster Build Plan.
#ecommerceseo #seocasestudy #topicalauthority #contentclusters #semanticseo #shopifyseo #seoresults #onlinestore #ecommercegrowth #contentstrategy #seotips #woocommerceseo</t>
  </si>
  <si>
    <t xml:space="preserve">#ecommerceseo #seocasestudy #topicalauthority #contentclusters #semanticseo #shopifyseo #seoresults #onlinestore #ecommercegrowth #contentstrategy #seotips #woocommerceseo</t>
  </si>
  <si>
    <t xml:space="preserve">Single image, 1080x1350, case study layout.
Headline (top, bold condensed): ONE CLUSTER. ONE COLLECTION.
Sub-headline: [Client: UK coffee equipment store] — [X] months
Left column "BEFORE": 60+ disconnected blog posts (icon grid of scattered page icons) | Overlapping topics | Product pages with no blog links
Right column "AFTER": Hub-and-spoke diagram — centre node "Pillar: How to choose an espresso grinder", 6 spoke nodes labelled "Burr types", "Grind size guide", "Best grinder for beginners", "Grinder A vs B", "Cleaning a grinder", "Single dose vs hopper"; thick arrow from pillar to node "Collection: Espresso grinders"
Results band (3 stat boxes): [+X% clicks to collection] | [+X% category revenue] | [X new top-10 queries]
Footer: "No new products. No link building. Just structure." | Comment "CLUSTERPLAN" for the build plan | Muhammad Mehrooz Shafique,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</si>
  <si>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"One cluster. One collection. Here's what changed in [X] months."
SUBHEAD: "Case study: one content cluster connected to one collection"
MAIN VISUAL: the layout described below containing exactly: 
Single image, 1080x1350, case study layout.
Headline (top, bold condensed): ONE CLUSTER. ONE COLLECTION.
Sub-headline: [Client: UK coffee equipment store] — [X] months
Left column "BEFORE": 60+ disconnected blog posts (icon grid of scattered page icons) | Overlapping topics | Product pages with no blog links
Right column "AFTER": Hub-and-spoke diagram — centre node "Pillar: How to choose an espresso grinder", 6 spoke nodes labelled "Burr types", "Grind size guide", "Best grinder for beginners", "Grinder A vs B", "Cleaning a grinder", "Single dose vs hopper"; thick arrow from pillar to node "Collection: Espresso grinders"
Results band (3 stat boxes): [+X% clicks to collection] | [+X% category revenue] | [X new top-10 queries]
Footer: "No new products. No link building. Just structure." | Comment "CLUSTERPLAN" for the build plan | Muhammad Mehrooz Shafique, Permanent SEO
CTA BANNER (bottom, navy rounded box, white text, keyword in blue): Comment "CLUSTERPLAN" for Content Cluster Build Plan (Notion template with pillar, spokes and link rules)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</si>
  <si>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"One cluster. One collection. Here's what changed in [X] months."
BODY (numbered points / simple visual): the 3–5 key points from this brief, shortened to max 8 words each:
Single image, 1080x1350, case study layout.
Headline (top, bold condensed): ONE CLUSTER. ONE COLLECTION.
Sub-headline: [Client: UK coffee equipment store] — [X] months
Left column "BEFORE": 60+ disconnected blog posts (icon grid of scattered page icons) | Overlapping topics | Product pages with no blog links
Right column "AFTER": Hub-and-spoke diagram — centre node "Pillar: How to choose an espresso grinder", 6 spoke nodes labelled "Burr types", "Grind size guide", "Best grinder for beginners", "Grinder A vs B", "Cleaning a grinder", "Single dose vs hopper"; thick arrow from pillar to node "Collection: Espresso grinders"
Results band (3 stat boxes): [+X% clicks to collection] | [+X% category revenue] | [X new top-10 queries]
Footer: "No new products. No link building. Just structure." | Comment "CLUSTERPLAN" for the build plan | Muhammad Mehrooz Shafique, Permanent SEO
BOTTOM BAR: Comment "CLUSTERPLAN" for Content Cluster Build Plan (Notion template with pillar, spokes and link rules)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</si>
  <si>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CLUSTERPLAN</t>
  </si>
  <si>
    <t xml:space="preserve">Content Cluster Build Plan (Notion template with pillar, spokes and link rules)</t>
  </si>
  <si>
    <t xml:space="preserve">Client had 60+ blog posts. Almost no product traffic.
We built one pillar guide, mapped [X] spokes, merged overlaps and linked it all to one collection.
[+X% organic revenue in X months]
Structure beat volume. #EcommerceSEO</t>
  </si>
  <si>
    <t xml:space="preserve">Entities and attributes: what to include on every product page</t>
  </si>
  <si>
    <t xml:space="preserve">Google reads your product page as entities, not keywords.</t>
  </si>
  <si>
    <t xml:space="preserve">entity seo for product pages</t>
  </si>
  <si>
    <t xml:space="preserve">product attributes seo, semantic product description, entity-based seo ecommerce, product schema attributes</t>
  </si>
  <si>
    <t xml:space="preserve">Most product descriptions are written for keywords. Google reads them as entities.
An entity is a "thing" Google understands: a product, a brand, a material, a use case.
Attributes are the facts that describe it.
When your page lists the right attributes, Google and AI assistants can match it to specific queries like "waterproof hiking boots for wide feet".
Here's the framework I use:
→ Identity: product name, brand, model, GTIN
→ Physical: material, size, weight, colour
→ Performance: what it does and how well (with measurable values)
→ Use case: who it's for, where, when
→ Comparison: how it differs from the alternative
→ Proof: tests, reviews, certifications
→ Care: how to use and maintain it
Put these in the copy, the spec table AND the Product schema. Keep them consistent.
Thin pages miss half of these. That's why they rank for nothing specific.
Comment "ENTITYLIST" and I'll send you the Product Attribute Extraction Sheet.
#SemanticSEO #EntitySEO #EcommerceSEO #ProductPages</t>
  </si>
  <si>
    <t xml:space="preserve">#SemanticSEO #EntitySEO #EcommerceSEO #ProductPages</t>
  </si>
  <si>
    <t xml:space="preserve">Your product page is a list of facts to Google.
Missing facts = missed queries.
Cover these:
→ Identity: brand, model, GTIN
→ Physical: material, size, weight
→ Performance: measurable values
→ Use case: who, where, when
→ Proof: tests, reviews, certifications
Keep the same facts in your copy, spec table and schema.
Save this for your next product upload.
Comment "ENTITYLIST" for the Product Attribute Extraction Sheet.
#semanticseo #entityseo #ecommerceseo #productpages #shopifyseo #seotips #productdescription #onlinestore #copywriting #woocommerce #ecommercetips #searchengineoptimization</t>
  </si>
  <si>
    <t xml:space="preserve">#semanticseo #entityseo #ecommerceseo #productpages #shopifyseo #seotips #productdescription #onlinestore #copywriting #woocommerce #ecommercetips #searchengineoptimization</t>
  </si>
  <si>
    <t xml:space="preserve">Slide 1: Google reads your product page as entities, not keywords | Here's what to include on every product page
Slide 2: Entity vs attribute | Entity = the thing (a hiking boot). Attribute = a fact about it (waterproof, wide fit, 650g)
Slide 3: Why it matters | Specific queries match specific attributes. "Waterproof hiking boots for wide feet" needs those facts on the page
Slide 4: 1. Identity | Product name, brand, model number, GTIN/MPN
Slide 5: 2. Physical | Material, dimensions, weight, colour options
Slide 6: 3. Performance + 4. Use case | Measurable values (waterproof rating, battery hours). Who it's for, where, when
Slide 7: 5. Comparison | How it differs from the main alternative. One clear sentence
Slide 8: 6. Proof + 7. Care | Tests, reviews, certifications. How to use and maintain it
Slide 9: Keep it consistent | Same attributes in the copy, the spec table and Product schema markup
Slide 10: Get the sheet | Comment "ENTITYLIST" for the Product Attribute Extraction Sheet + follow Muhammad Mehrooz Shafique</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</si>
  <si>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Google reads your product page as entities, not keywords | Here's what to include on every product page
Slide 2: Entity vs attribute | Entity = the thing (a hiking boot). Attribute = a fact about it (waterproof, wide fit, 650g)
Slide 3: Why it matters | Specific queries match specific attributes. "Waterproof hiking boots for wide feet" needs those facts on the page
Slide 4: 1. Identity | Product name, brand, model number, GTIN/MPN
Slide 5: 2. Physical | Material, dimensions, weight, colour options
Slide 6: 3. Performance + 4. Use case | Measurable values (waterproof rating, battery hours). Who it's for, where, when
Slide 7: 5. Comparison | How it differs from the main alternative. One clear sentence
Slide 8: 6. Proof + 7. Care | Tests, reviews, certifications. How to use and maintain it
Slide 9: Keep it consistent | Same attributes in the copy, the spec table and Product schema markup
Slide 10: Get the sheet | Comment "ENTITYLIST" for the Product Attribute Extraction Sheet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</si>
  <si>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Google reads your product page as entities, not keywords | Here's what to include on every product page
Slide 2: Entity vs attribute | Entity = the thing (a hiking boot). Attribute = a fact about it (waterproof, wide fit, 650g)
Slide 3: Why it matters | Specific queries match specific attributes. "Waterproof hiking boots for wide feet" needs those facts on the page
Slide 4: 1. Identity | Product name, brand, model number, GTIN/MPN
Slide 5: 2. Physical | Material, dimensions, weight, colour options
Slide 6: 3. Performance + 4. Use case | Measurable values (waterproof rating, battery hours). Who it's for, where, when
Slide 7: 5. Comparison | How it differs from the main alternative. One clear sentence
Slide 8: 6. Proof + 7. Care | Tests, reviews, certifications. How to use and maintain it
Slide 9: Keep it consistent | Same attributes in the copy, the spec table and Product schema markup
Slide 10: Get the sheet | Comment "ENTITYLIST" for the Product Attribute Extraction Sheet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</si>
  <si>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ENTITYLIST</t>
  </si>
  <si>
    <t xml:space="preserve">Product Attribute Extraction Sheet (Google Sheet with 40 attribute prompts by category)</t>
  </si>
  <si>
    <t xml:space="preserve">Google reads your product page as entities and attributes, not keywords.
Here's what every product page should include
---
Entity = the thing (a hiking boot).
Attribute = a fact about it (waterproof, wide fit, 650g).
Specific queries match specific attributes. Missing facts = missed queries.
---
1. Identity: name, brand, model, GTIN
2. Physical: material, size, weight, colour
3. Performance: measurable values, not adjectives
---
4. Use case: who it's for, where, when
5. Comparison: how it differs from the main alternative
6. Proof: tests, reviews, certifications
7. Care: how to use and maintain it
---
Put the same attributes in the copy, the spec table and the Product schema.
Consistency helps Google and AI assistants trust the facts. #SemanticSEO #EcommerceSEO</t>
  </si>
  <si>
    <t xml:space="preserve">A simple checklist for what facts to put on a product page (beyond the marketing copy)</t>
  </si>
  <si>
    <t xml:space="preserve">A lot of product pages I review have nice copy but are missing basic facts. That matters because search engines match specific queries to specific details on the page. If "wide fit" or "650g" isn't written anywhere, the page can't match a search that includes it.
The checklist I use, grouped into seven buckets:
1. Identity: product name, brand, model number, GTIN or MPN
2. Physical: material, dimensions, weight, colour options
3. Performance: measurable values like waterproof rating or battery hours, not "long-lasting"
4. Use case: who it's for, where and when it's used
5. Comparison: one honest line on how it differs from the main alternative
6. Proof: test results, reviews, certifications
7. Care: how to use it and maintain it
Then keep those same facts consistent across the description, the spec table and the structured data. Mismatches between them are common, especially after supplier feed updates.
What details do your customers ask about most that aren't on your product pages yet?</t>
  </si>
  <si>
    <t xml:space="preserve">Internal linking architecture: pillar → collection → product</t>
  </si>
  <si>
    <t xml:space="preserve">Your blog gets traffic. Your products get nothing. Here's why.</t>
  </si>
  <si>
    <t xml:space="preserve">ecommerce internal linking structure</t>
  </si>
  <si>
    <t xml:space="preserve">pillar page internal links, collection page seo, site architecture ecommerce, link equity to product pages</t>
  </si>
  <si>
    <t xml:space="preserve">Your blog ranks. Your products don't. I see this every week.
The cause is almost always the same: the blog is an island.
No links to collections. No links to products. All that authority stays on pages that don't sell.
Here's the linking architecture we set up for stores:
→ Pillar guide links DOWN to its collection (descriptive anchor, high in the content)
→ Supporting articles link UP to the pillar and ACROSS to 1–2 sibling articles
→ Supporting articles link to the specific products they mention
→ Collection pages link to the pillar guide ("Not sure which to choose? Read our guide")
→ Product pages link to their parent collection and one relevant guide
→ Breadcrumbs on every product and collection
Rules that matter:
→ Anchor text describes the target page, never "click here"
→ Every product reachable within 3 clicks from the homepage
→ No orphan pages
Links are how you tell Google which pages matter most.
Comment "LINKFLOW" and I'll send you the Pillar-Collection-Product Linking Map.
#EcommerceSEO #InternalLinking #SiteArchitecture #TechnicalSEO</t>
  </si>
  <si>
    <t xml:space="preserve">#EcommerceSEO #InternalLinking #SiteArchitecture #TechnicalSEO</t>
  </si>
  <si>
    <t xml:space="preserve">Your blog is an island. That's why products don't rank.
→ Pillar links down to the collection
→ Articles link up to the pillar
→ Articles link to products they mention
→ Collections link back to the guide
→ Products link to their collection
Every product within 3 clicks. No orphans.
Save this for your next site audit.
Comment "LINKFLOW" for the Linking Map template.
#ecommerceseo #internallinking #sitearchitecture #technicalseo #shopifyseo #seotips #onpageseo #onlinestore #woocommerceseo #semanticseo #ecommercetips #seostrategy</t>
  </si>
  <si>
    <t xml:space="preserve">#ecommerceseo #internallinking #sitearchitecture #technicalseo #shopifyseo #seotips #onpageseo #onlinestore #woocommerceseo #semanticseo #ecommercetips #seostrategy</t>
  </si>
  <si>
    <t xml:space="preserve">Single framework diagram, 1080x1350.
Headline (top, bold condensed): HOW LINKS SHOULD FLOW IN YOUR STORE
Sub-headline: Pillar → Collection → Product
Diagram (top to bottom, 4 tiers, connected with labelled arrows):
Tier 1: Box "PILLAR GUIDE — How to choose running shoes"
Tier 2: Three boxes "Article: Running shoes for flat feet", "Article: Road vs trail shoes", "Article: How to size running shoes" — arrows UP to pillar labelled "link up", dotted arrows between them labelled "link across"
Tier 3: Box "COLLECTION — Running shoes" — thick arrow from pillar labelled "main link down", arrow back up labelled "Read our guide"
Tier 4: Three product cards "Product A", "Product B", "Product C" — arrows from collection labelled "link down", arrows from articles labelled "mentioned products", arrow back up labelled "breadcrumb"
Right-side rules panel (3 numbered items): 1. Descriptive anchor text, never "click here" | 2. Every product within 3 clicks of the homepage | 3. Zero orphan pages
Footer: Comment "LINKFLOW" for the Linking Map template | Muhammad Mehrooz Shafique,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</si>
  <si>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"Your blog gets traffic. Your products get nothing. Here's why."
SUBHEAD: "Internal linking architecture: pillar → collection → product"
MAIN VISUAL: the layout described below containing exactly: 
Single framework diagram, 1080x1350.
Headline (top, bold condensed): HOW LINKS SHOULD FLOW IN YOUR STORE
Sub-headline: Pillar → Collection → Product
Diagram (top to bottom, 4 tiers, connected with labelled arrows):
Tier 1: Box "PILLAR GUIDE — How to choose running shoes"
Tier 2: Three boxes "Article: Running shoes for flat feet", "Article: Road vs trail shoes", "Article: How to size running shoes" — arrows UP to pillar labelled "link up", dotted arrows between them labelled "link across"
Tier 3: Box "COLLECTION — Running shoes" — thick arrow from pillar labelled "main link down", arrow back up labelled "Read our guide"
Tier 4: Three product cards "Product A", "Product B", "Product C" — arrows from collection labelled "link down", arrows from articles labelled "mentioned products", arrow back up labelled "breadcrumb"
Right-side rules panel (3 numbered items): 1. Descriptive anchor text, never "click here" | 2. Every product within 3 clicks of the homepage | 3. Zero orphan pages
Footer: Comment "LINKFLOW" for the Linking Map template | Muhammad Mehrooz Shafique, Permanent SEO
CTA BANNER (bottom, navy rounded box, white text, keyword in blue): Comment "LINKFLOW" for Pillar-Collection-Product Linking Map (Miro board template + link rules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</si>
  <si>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"Your blog gets traffic. Your products get nothing. Here's why."
BODY (numbered points / simple visual): the 3–5 key points from this brief, shortened to max 8 words each:
Single framework diagram, 1080x1350.
Headline (top, bold condensed): HOW LINKS SHOULD FLOW IN YOUR STORE
Sub-headline: Pillar → Collection → Product
Diagram (top to bottom, 4 tiers, connected with labelled arrows):
Tier 1: Box "PILLAR GUIDE — How to choose running shoes"
Tier 2: Three boxes "Article: Running shoes for flat feet", "Article: Road vs trail shoes", "Article: How to size running shoes" — arrows UP to pillar labelled "link up", dotted arrows between them labelled "link across"
Tier 3: Box "COLLECTION — Running shoes" — thick arrow from pillar labelled "main link down", arrow back up labelled "Read our guide"
Tier 4: Three product cards "Product A", "Product B", "Product C" — arrows from collection labelled "link down", arrows from articles labelled "mentioned products", arrow back up labelled "breadcrumb"
Right-side rules panel (3 numbered items): 1. Descriptive anchor text, never "click here" | 2. Every product within 3 clicks of the homepage | 3. Zero orphan pages
Footer: Comment "LINKFLOW" for the Linking Map template | Muhammad Mehrooz Shafique, Permanent SEO
BOTTOM BAR: Comment "LINKFLOW" for Pillar-Collection-Product Linking Map (Miro board template + link rules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</si>
  <si>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LINKFLOW</t>
  </si>
  <si>
    <t xml:space="preserve">Pillar-Collection-Product Linking Map (Miro board template + link rules PDF)</t>
  </si>
  <si>
    <t xml:space="preserve">Blog ranks. Products don't.
Usually the blog is an island.
Fix the flow:
Pillar → collection
Articles → pillar + products
Collection → guide
Product → collection (breadcrumbs)
Every product within 3 clicks. No orphans. #EcommerceSEO #InternalLinking</t>
  </si>
  <si>
    <t xml:space="preserve">Myth: write about everything in your industry (source context)</t>
  </si>
  <si>
    <t xml:space="preserve">We don't write about everything. We write about what we sell.</t>
  </si>
  <si>
    <t xml:space="preserve">source context seo</t>
  </si>
  <si>
    <t xml:space="preserve">topical relevance ecommerce, off-topic blog content, semantic seo source context, niche content strategy</t>
  </si>
  <si>
    <t xml:space="preserve">We don't write about everything. We write about what we sell.
A pet supplement store doesn't need a post on "funniest dog breeds". It might get traffic. It won't build relevance.
This is source context. Who you are as a business decides which topics Google expects you to cover.
Before we approve any topic, we ask three things:
→ Does this topic connect to a product we sell?
→ Would a buyer read this before purchasing?
→ Can we link it to a collection naturally?
Three no's = skip it.
That doesn't mean only writing about products. "How to choose a joint supplement for an older dog" is perfect. It's tied to what you sell and what your buyer cares about.
Off-topic traffic is noise. Relevant traffic is a signal.
Comment "SOURCEFIT" and I'll send you the Source Context Filter we use to approve topics.
#SemanticSEO #EcommerceSEO #TopicalAuthority #ContentStrategy</t>
  </si>
  <si>
    <t xml:space="preserve">#SemanticSEO #EcommerceSEO #TopicalAuthority #ContentStrategy</t>
  </si>
  <si>
    <t xml:space="preserve">Traffic isn't the goal. Relevant traffic is.
Before writing a post, ask:
→ Does it connect to a product?
→ Would a buyer read it before purchasing?
→ Can it link to a collection naturally?
No? Skip it.
Off-topic traffic is noise. Relevant traffic is a signal.
Share this with a store owner chasing viral blog posts.
Comment "SOURCEFIT" for the Source Context Filter.
#semanticseo #ecommerceseo #topicalauthority #contentstrategy #seomyths #seotips #shopifyseo #blogstrategy #onlinestore #nichemarketing #reelsforbusiness #seoexpert</t>
  </si>
  <si>
    <t xml:space="preserve">#semanticseo #ecommerceseo #topicalauthority #contentstrategy #seomyths #seotips #shopifyseo #blogstrategy #onlinestore #nichemarketing #reelsforbusiness #seoexpert</t>
  </si>
  <si>
    <t xml:space="preserve">[0-2s] VO: We don't write about everything. | ON-SCREEN: WE DON'T WRITE ABOUT EVERYTHING. | VISUAL: Dark background, bold kinetic text
[2-5s] VO: We write about what we sell. | ON-SCREEN: WE WRITE ABOUT WHAT WE SELL. | VISUAL: Product box appears in centre
[5-8s] VO: Most blog plans chase this. | ON-SCREEN: MOST BLOG PLANS CHASE THIS | VISUAL: Rising traffic graph with confetti
[8-9s] VO: Trends. | ON-SCREEN: TRENDS. | VISUAL: One word, centred
[9-10s] VO: Volume. | ON-SCREEN: VOLUME. | VISUAL: One word, centred
[10-11s] VO: Viral topics. | ON-SCREEN: VIRAL TOPICS. | VISUAL: One word, centred
[11-14s] VO: But first, three things need to be clear. | ON-SCREEN: BUT FIRST, 3 QUESTIONS | VISUAL: Checklist appears
[14-17s] VO: Does it connect to a product? | ON-SCREEN: 1. CONNECTS TO A PRODUCT? | VISUAL: Line drawn from article to product
[17-20s] VO: Would a buyer read it first? | ON-SCREEN: 2. WOULD A BUYER READ IT? | VISUAL: Shopper silhouette reading
[20-23s] VO: Can it link to a collection? | ON-SCREEN: 3. LINKS TO A COLLECTION? | VISUAL: Arrow to collection grid
[23-26s] VO: Without that, traffic doesn't build relevance. | ON-SCREEN: TRAFFIC ≠ RELEVANCE | VISUAL: Graph up, sales flat
[26-28s] VO: It builds noise. | ON-SCREEN: IT BUILDS NOISE. | VISUAL: Static fuzz
[28-32s] VO: Relevance is the real ranking signal. Comment sourcefit. | ON-SCREEN: Comment "SOURCEFIT" | VISUAL: Logo + handle</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</si>
  <si>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write about everything. | ON-SCREEN: WE DON'T WRITE ABOUT EVERYTHING. | VISUAL: Dark background, bold kinetic text
[2-5s] VO: We write about what we sell. | ON-SCREEN: WE WRITE ABOUT WHAT WE SELL. | VISUAL: Product box appears in centre
[5-8s] VO: Most blog plans chase this. | ON-SCREEN: MOST BLOG PLANS CHASE THIS | VISUAL: Rising traffic graph with confetti
[8-9s] VO: Trends. | ON-SCREEN: TRENDS. | VISUAL: One word, centred
[9-10s] VO: Volume. | ON-SCREEN: VOLUME. | VISUAL: One word, centred
[10-11s] VO: Viral topics. | ON-SCREEN: VIRAL TOPICS. | VISUAL: One word, centred
[11-14s] VO: But first, three things need to be clear. | ON-SCREEN: BUT FIRST, 3 QUESTIONS | VISUAL: Checklist appears
[14-17s] VO: Does it connect to a product? | ON-SCREEN: 1. CONNECTS TO A PRODUCT? | VISUAL: Line drawn from article to product
[17-20s] VO: Would a buyer read it first? | ON-SCREEN: 2. WOULD A BUYER READ IT? | VISUAL: Shopper silhouette reading
[20-23s] VO: Can it link to a collection? | ON-SCREEN: 3. LINKS TO A COLLECTION? | VISUAL: Arrow to collection grid
[23-26s] VO: Without that, traffic doesn't build relevance. | ON-SCREEN: TRAFFIC ≠ RELEVANCE | VISUAL: Graph up, sales flat
[26-28s] VO: It builds noise. | ON-SCREEN: IT BUILDS NOISE. | VISUAL: Static fuzz
[28-32s] VO: Relevance is the real ranking signal. Comment sourcefit. | ON-SCREEN: Comment "SOURCEFIT" | VISUAL: Logo + handle
Final 3 s: dark/navy end card with Permanent SEO logo, 'SEO for E-commerce Brands' and 'Comment "SOURCEFIT"'. Burned-in captions. All text spelled exactly as written, sharp and legible on mobile; no extra words, no watermarks.</t>
  </si>
  <si>
    <t xml:space="preserve">SOURCEFIT</t>
  </si>
  <si>
    <t xml:space="preserve">Source Context Filter (1-page decision sheet: write it, link it, or skip it)</t>
  </si>
  <si>
    <t xml:space="preserve">We don't write about everything.
We write about what we sell.
Before any blog topic:
→ Connects to a product?
→ Would a buyer read it first?
→ Links to a collection?
Off-topic traffic is noise, not authority. #SemanticSEO #EcommerceSEO</t>
  </si>
  <si>
    <t xml:space="preserve">Source Context SEO: Why Off-Topic Blog Posts Hurt Your Store</t>
  </si>
  <si>
    <t xml:space="preserve">Source context SEO explained for online stores: your business decides which topics Google expects you to cover. Use this 3-question filter before writing any blog post. #Shorts</t>
  </si>
  <si>
    <t xml:space="preserve">source context seo, semantic seo, ecommerce seo, topical relevance, blog strategy, shopify seo, content strategy, seo myths, topical authority, niche seo</t>
  </si>
  <si>
    <t xml:space="preserve">Information gain: why your buying guide reads like everyone else's</t>
  </si>
  <si>
    <t xml:space="preserve">Your buying guide says what the top 10 already say.</t>
  </si>
  <si>
    <t xml:space="preserve">information gain seo</t>
  </si>
  <si>
    <t xml:space="preserve">unique content ecommerce, buying guide seo, original content for ai search, helpful content online store</t>
  </si>
  <si>
    <t xml:space="preserve">Your buying guide covers the same 7 points as the top 10 results. That's the problem.
If your page adds nothing new, Google already has that answer. So do ChatGPT and AI Overviews.
Information gain means giving the reader something they won't find on the other ranking pages.
For stores, you have an unfair advantage here. You touch the products. Competitors copying specs don't.
Where to find it:
→ Your own testing: measurements, photos, what failed
→ Return reasons: why customers sent it back
→ Support emails: the questions nobody else answers
→ Sizing and fit data from real orders
→ Honest "who this is NOT for" sections
How we apply it:
→ Read the top 5 results and list every point they cover
→ Mark what's missing
→ Fill the gaps with first-hand data only you have
→ Put the new information near the top, not buried
Same topic. Different, better answer.
Comment "INFOGAIN" and I'll send you the Information Gain Prompt Pack.
#SemanticSEO #EcommerceSEO #ContentStrategy #AISearch</t>
  </si>
  <si>
    <t xml:space="preserve">#SemanticSEO #EcommerceSEO #ContentStrategy #AISearch</t>
  </si>
  <si>
    <t xml:space="preserve">If your guide says what the top 10 say, why would Google pick yours?
Add what only a store knows:
→ Your own product testing
→ Real return reasons
→ Support email questions
→ Fit data from orders
→ "Who this is NOT for"
Your competitors copy specs. You touch the products. Use that.
Save this before writing your next guide.
Comment "INFOGAIN" for the Information Gain Prompt Pack.
#semanticseo #ecommerceseo #contentstrategy #aisearch #helpfulcontent #seotips #buyingguide #shopifyseo #contentwriting #onlinestore #googleseo #seoexpert</t>
  </si>
  <si>
    <t xml:space="preserve">#semanticseo #ecommerceseo #contentstrategy #aisearch #helpfulcontent #seotips #buyingguide #shopifyseo #contentwriting #onlinestore #googleseo #seoexpert</t>
  </si>
  <si>
    <t xml:space="preserve">Scene 1 [0-8s] VO: Okay. Buying guide finished. Two thousand words. Covers everything... same as everyone else, I suppose. | VISUAL: Writer scrolling a long doc; split screen shows 5 competitor tabs with near-identical headings
Scene 2 [8-18s] VO: Let's be honest. Your problem isn't word count. It's that your guide says exactly what the top ten already say. | VISUAL: Ten pages overlap into one blurred page
Scene 3 [18-30s] VO: So Google has no reason to rank you. And when someone asks ChatGPT, it cites the page that added something new. Not yours. | VISUAL: AI chat answer box with a citation pointing to a competitor
Scene 4 [30-36s] VO: Here's the fix. It's called information gain. | VISUAL: Title card "INFORMATION GAIN"
Scene 5 [36-48s] VO: At Permanent SEO, we build guides around what only your store knows. Because you handle the products. Your competitors copy the specs. | VISUAL: Hands unboxing a product, measuring tape, notes
Scene 6 [48-60s] VO: Step one. Read the top five results and list every point they make. | VISUAL: Checklist being filled from competitor pages
Scene 7 [60-72s] VO: Step two. Mark the gaps. What did nobody test? What did nobody admit? | VISUAL: Red circles on empty spaces in the checklist
Scene 8 [72-86s] VO: Step three. Fill them with your data. Testing notes. Return reasons. Support questions. Fit data from real orders. | VISUAL: Four data icons fly into the guide
Scene 9 [86-96s] VO: Step four. Put that new information near the top, where readers and crawlers see it first. | VISUAL: Highlighted block moves to top of page
Scene 10 [96-104s] VO: Result? [CLIENT RESULT: guide moved from position X to Y]. | VISUAL: Placeholder ranking chart "[YOUR GSC DATA]"
Scene 11 [104-115s] VO: Comment INFOGAIN for the prompt pack. Or book a free e-commerce SEO audit with Permanent SEO. | VISUAL: CTA card, logo, Muhammad Mehrooz Shafique name tag</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</si>
  <si>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Okay. Buying guide finished. Two thousand words. Covers everything... same as everyone else, I suppose. | VISUAL: Writer scrolling a long doc; split screen shows 5 competitor tabs with near-identical headings
Scene 2 [8-18s] VO: Let's be honest. Your problem isn't word count. It's that your guide says exactly what the top ten already say. | VISUAL: Ten pages overlap into one blurred page
Scene 3 [18-30s] VO: So Google has no reason to rank you. And when someone asks ChatGPT, it cites the page that added something new. Not yours. | VISUAL: AI chat answer box with a citation pointing to a competitor
Scene 4 [30-36s] VO: Here's the fix. It's called information gain. | VISUAL: Title card "INFORMATION GAIN"
Scene 5 [36-48s] VO: At Permanent SEO, we build guides around what only your store knows. Because you handle the products. Your competitors copy the specs. | VISUAL: Hands unboxing a product, measuring tape, notes
Scene 6 [48-60s] VO: Step one. Read the top five results and list every point they make. | VISUAL: Checklist being filled from competitor pages
Scene 7 [60-72s] VO: Step two. Mark the gaps. What did nobody test? What did nobody admit? | VISUAL: Red circles on empty spaces in the checklist
Scene 8 [72-86s] VO: Step three. Fill them with your data. Testing notes. Return reasons. Support questions. Fit data from real orders. | VISUAL: Four data icons fly into the guide
Scene 9 [86-96s] VO: Step four. Put that new information near the top, where readers and crawlers see it first. | VISUAL: Highlighted block moves to top of page
Scene 10 [96-104s] VO: Result? [CLIENT RESULT: guide moved from position X to Y]. | VISUAL: Placeholder ranking chart "[YOUR GSC DATA]"
Scene 11 [104-115s] VO: Comment INFOGAIN for the prompt pack. Or book a free e-commerce SEO audit with Permanent SEO. | VISUAL: CTA card, logo, Muhammad Mehrooz Shafique name tag
End card: Permanent SEO logo + 'Comment "INFOGAIN"'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</si>
  <si>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Okay. Buying guide finished. Two thousand words. Covers everything... same as everyone else, I suppose. | VISUAL: Writer scrolling a long doc; split screen shows 5 competitor tabs with near-identical headings
Scene 2 [8-18s] VO: Let's be honest. Your problem isn't word count. It's that your guide says exactly what the top ten already say. | VISUAL: Ten pages overlap into one blurred page
Scene 3 [18-30s] VO: So Google has no reason to rank you. And when someone asks ChatGPT, it cites the page that added something new. Not yours. | VISUAL: AI chat answer box with a citation pointing to a competitor
Scene 4 [30-36s] VO: Here's the fix. It's called information gain. | VISUAL: Title card "INFORMATION GAIN"
Scene 5 [36-48s] VO: At Permanent SEO, we build guides around what only your store knows. Because you handle the products. Your competitors copy the specs. | VISUAL: Hands unboxing a product, measuring tape, notes
Scene 6 [48-60s] VO: Step one. Read the top five results and list every point they make. | VISUAL: Checklist being filled from competitor pages
Scene 7 [60-72s] VO: Step two. Mark the gaps. What did nobody test? What did nobody admit? | VISUAL: Red circles on empty spaces in the checklist
Scene 8 [72-86s] VO: Step three. Fill them with your data. Testing notes. Return reasons. Support questions. Fit data from real orders. | VISUAL: Four data icons fly into the guide
Scene 9 [86-96s] VO: Step four. Put that new information near the top, where readers and crawlers see it first. | VISUAL: Highlighted block moves to top of page
Scene 10 [96-104s] VO: Result? [CLIENT RESULT: guide moved from position X to Y]. | VISUAL: Placeholder ranking chart "[YOUR GSC DATA]"
Scene 11 [104-115s] VO: Comment INFOGAIN for the prompt pack. Or book a free e-commerce SEO audit with Permanent SEO. | VISUAL: CTA card, logo, Muhammad Mehrooz Shafique name tag
Final 3 s: dark/navy end card with Permanent SEO logo, 'SEO for E-commerce Brands' and 'Comment "INFOGAIN"'. Burned-in captions. All text spelled exactly as written, sharp and legible on mobile; no extra words, no watermarks.</t>
  </si>
  <si>
    <t xml:space="preserve">INFOGAIN</t>
  </si>
  <si>
    <t xml:space="preserve">Information Gain Prompt Pack (12 prompts to find what competing guides are missing)</t>
  </si>
  <si>
    <t xml:space="preserve">Your buying guide covers the same 7 points as the top 10.
So why would Google or ChatGPT pick yours?
Add what only a store knows: testing notes, return reasons, support questions, fit data.
That's information gain. #SemanticSEO #AISearch</t>
  </si>
  <si>
    <t xml:space="preserve">Information Gain SEO: Make Your Buying Guide Worth Ranking</t>
  </si>
  <si>
    <t xml:space="preserve">Information gain SEO for e-commerce: why buying guides that repeat the top 10 results struggle in Google and AI search, and how to use your store's own testing, returns and support data to stand out. A 4-step method from Permanent SEO.</t>
  </si>
  <si>
    <t xml:space="preserve">information gain seo, buying guide seo, ecommerce seo, helpful content, semantic seo, ai search optimization, content strategy, original content, shopify seo, permanent seo</t>
  </si>
  <si>
    <t xml:space="preserve">Free guide preview: the 'Best X for Y' page playbook</t>
  </si>
  <si>
    <t xml:space="preserve">The page type that sits between your blog and your checkout.</t>
  </si>
  <si>
    <t xml:space="preserve">best x for y pages</t>
  </si>
  <si>
    <t xml:space="preserve">best for pages ecommerce, commercial intent content, buying guide template, comparison content seo</t>
  </si>
  <si>
    <t xml:space="preserve">"Best running shoes for flat feet." "Best coffee grinder for beginners." "Best moisturiser for oily skin."
These queries are pure commercial intent. The searcher is close to buying. They just need help choosing.
Most stores ignore them. Affiliate sites take the traffic and send it to Amazon.
You actually stock the products. You should own these pages.
I put together a free playbook on how we build them:
1. Finding "best X for Y" queries in your GSC data
2. Choosing the "Y": need, person, budget, situation
3. The page structure that works: quick picks, criteria, detailed picks
4. How to stay honest when you only stock some options
5. Linking picks to products and collections
6. Keeping the page updated as stock changes
The template is inside too.
Comment "BESTFOR" and I'll send you the 'Best X for Y' Page Playbook.
#EcommerceSEO #ContentStrategy #SemanticSEO #ShopifySEO</t>
  </si>
  <si>
    <t xml:space="preserve">#EcommerceSEO #ContentStrategy #SemanticSEO #ShopifySEO</t>
  </si>
  <si>
    <t xml:space="preserve">Affiliates are ranking for "best X for Y" with products YOU stock.
Inside the free playbook:
1. Finding the queries in GSC
2. Choosing the right "Y"
3. The page structure
4. Staying honest
5. Linking to products
6. Keeping it updated
You stock the products. You should own these pages.
Save this and claim your pages back.
Comment "BESTFOR" for the 'Best X for Y' Page Playbook.
#ecommerceseo #contentstrategy #semanticseo #shopifyseo #buyingguide #seotips #onlinestore #ecommercemarketing #affiliatemarketing #seocontent #woocommerceseo #conversionoptimization</t>
  </si>
  <si>
    <t xml:space="preserve">#ecommerceseo #contentstrategy #semanticseo #shopifyseo #buyingguide #seotips #onlinestore #ecommercemarketing #affiliatemarketing #seocontent #woocommerceseo #conversionoptimization</t>
  </si>
  <si>
    <t xml:space="preserve">Single image, 1080x1350, "guide preview" style.
Top: mock-up of a PDF cover tilted at 10°, cover title "THE 'BEST X FOR Y' PAGE PLAYBOOK", cover subtitle "For e-commerce stores", small author line "Muhammad Mehrooz Shafique | Permanent SEO"
Below cover, heading: WHAT'S INSIDE
Numbered chapter list (6 rows, number in brand-colour circle):
01 Finding "best X for Y" queries in your GSC data
02 Choosing the "Y": need, person, budget, situation
03 The page structure: quick picks → criteria → detailed picks
04 Staying honest when you only stock some options
05 Linking picks to products and collections
06 Keeping the page updated as stock changes
Bonus tag on the right: "+ Page template included"
Bottom full-width banner (contrasting colour, large text): Comment "BESTFOR" for free access</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</si>
  <si>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"The page type that sits between your blog and your checkout."
SUBHEAD: "Free guide preview: the 'Best X for Y' page playbook"
MAIN VISUAL: the layout described below containing exactly: 
Single image, 1080x1350, "guide preview" style.
Top: mock-up of a PDF cover tilted at 10°, cover title "THE 'BEST X FOR Y' PAGE PLAYBOOK", cover subtitle "For e-commerce stores", small author line "Muhammad Mehrooz Shafique | Permanent SEO"
Below cover, heading: WHAT'S INSIDE
Numbered chapter list (6 rows, number in brand-colour circle):
01 Finding "best X for Y" queries in your GSC data
02 Choosing the "Y": need, person, budget, situation
03 The page structure: quick picks → criteria → detailed picks
04 Staying honest when you only stock some options
05 Linking picks to products and collections
06 Keeping the page updated as stock changes
Bonus tag on the right: "+ Page template included"
Bottom full-width banner (contrasting colour, large text): Comment "BESTFOR" for free access
CTA BANNER (bottom, navy rounded box, white text, keyword in blue): Comment "BESTFOR" for 'Best X for Y' Page Playbook (PDF, 6 chapters + page template)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</si>
  <si>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"The page type that sits between your blog and your checkout."
BODY (numbered points / simple visual): the 3–5 key points from this brief, shortened to max 8 words each:
Single image, 1080x1350, "guide preview" style.
Top: mock-up of a PDF cover tilted at 10°, cover title "THE 'BEST X FOR Y' PAGE PLAYBOOK", cover subtitle "For e-commerce stores", small author line "Muhammad Mehrooz Shafique | Permanent SEO"
Below cover, heading: WHAT'S INSIDE
Numbered chapter list (6 rows, number in brand-colour circle):
01 Finding "best X for Y" queries in your GSC data
02 Choosing the "Y": need, person, budget, situation
03 The page structure: quick picks → criteria → detailed picks
04 Staying honest when you only stock some options
05 Linking picks to products and collections
06 Keeping the page updated as stock changes
Bonus tag on the right: "+ Page template included"
Bottom full-width banner (contrasting colour, large text): Comment "BESTFOR" for free access
BOTTOM BAR: Comment "BESTFOR" for 'Best X for Y' Page Playbook (PDF, 6 chapters + page template)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</si>
  <si>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BESTFOR</t>
  </si>
  <si>
    <t xml:space="preserve">'Best X for Y' Page Playbook (PDF, 6 chapters + page template)</t>
  </si>
  <si>
    <t xml:space="preserve">"Best X for Y" queries are buyers asking for help choosing.
Affiliates rank for them with products you stock.
I wrote a free playbook on how stores can build these pages properly, template included.
Reply "BESTFOR" and I'll send it. #EcommerceSEO</t>
  </si>
  <si>
    <t xml:space="preserve">Content pruning for stores: keep, refresh, merge, redirect, remove</t>
  </si>
  <si>
    <t xml:space="preserve">Deleting blog posts can help your store rank. If done right.</t>
  </si>
  <si>
    <t xml:space="preserve">content pruning ecommerce</t>
  </si>
  <si>
    <t xml:space="preserve">delete old blog posts seo, merge thin content, content audit online store, keyword cannibalisation blog</t>
  </si>
  <si>
    <t xml:space="preserve">Some of your old blog posts are working against you.
Thin posts. Outdated posts. Five posts targeting the same query.
They split your signals and waste crawl budget. Content pruning fixes that, but most people do it wrong and just delete everything with low traffic.
Here's the decision framework we use:
→ KEEP: gets clicks, still accurate, matches intent
→ REFRESH: was good, now losing clicks or out of date
→ MERGE: two or more posts competing for the same query
→ REDIRECT: no value on its own, but has links or a better related page exists
→ REMOVE: no traffic, no links, no relevance to what you sell
Important rules:
→ Use 12–16 months of GSC data, so seasonal posts don't get cut
→ Check backlinks before removing anything
→ Merged posts get a 301 to the strongest URL
→ Update internal links pointing to old URLs
Pruning is not about having fewer pages. It's about having only pages that deserve to exist.
Comment "PRUNE" and I'll send you the Content Pruning Decision Sheet.
#EcommerceSEO #ContentAudit #SemanticSEO #ContentPruning</t>
  </si>
  <si>
    <t xml:space="preserve">#EcommerceSEO #ContentAudit #SemanticSEO #ContentPruning</t>
  </si>
  <si>
    <t xml:space="preserve">Some of your blog posts are hurting your store.
Decide for each one:
→ KEEP: working and accurate
→ REFRESH: losing clicks
→ MERGE: competing posts
→ REDIRECT: has links, no traffic
→ REMOVE: no traffic, no links, no relevance
Use 12+ months of data so seasonal posts survive.
Save this for your next audit.
Comment "PRUNE" for the Content Pruning Decision Sheet.
#ecommerceseo #contentaudit #contentpruning #semanticseo #seotips #shopifyseo #blogging #onlinestore #technicalseo #woocommerceseo #seostrategy #ecommercetips</t>
  </si>
  <si>
    <t xml:space="preserve">#ecommerceseo #contentaudit #contentpruning #semanticseo #seotips #shopifyseo #blogging #onlinestore #technicalseo #woocommerceseo #seostrategy #ecommercetips</t>
  </si>
  <si>
    <t xml:space="preserve">Slide 1: Deleting blog posts can help your store rank | If you do it right. Here's the framework
Slide 2: The problem | Thin, outdated and overlapping posts split your signals and waste crawl budget
Slide 3: The wrong way | Bulk-deleting everything with low traffic. You lose links, seasonal pages and context
Slide 4: Step 1 — Export the data | 12–16 months of GSC clicks + impressions, plus backlinks per URL
Slide 5: KEEP | Gets clicks, still accurate, matches search intent
Slide 6: REFRESH | Was strong, now declining or out of date. Update facts, products, examples
Slide 7: MERGE | Two or more posts competing for the same query. Combine into the strongest URL
Slide 8: REDIRECT or REMOVE | Has links or a better page exists → 301. No traffic, no links, no relevance → remove
Slide 9: After pruning | Fix internal links to old URLs, update the sitemap, re-check in 8 weeks
Slide 10: Get the sheet | Comment "PRUNE" for the Content Pruning Decision Sheet + follow Muhammad Mehrooz Shafique</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</si>
  <si>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Deleting blog posts can help your store rank | If you do it right. Here's the framework
Slide 2: The problem | Thin, outdated and overlapping posts split your signals and waste crawl budget
Slide 3: The wrong way | Bulk-deleting everything with low traffic. You lose links, seasonal pages and context
Slide 4: Step 1 — Export the data | 12–16 months of GSC clicks + impressions, plus backlinks per URL
Slide 5: KEEP | Gets clicks, still accurate, matches search intent
Slide 6: REFRESH | Was strong, now declining or out of date. Update facts, products, examples
Slide 7: MERGE | Two or more posts competing for the same query. Combine into the strongest URL
Slide 8: REDIRECT or REMOVE | Has links or a better page exists → 301. No traffic, no links, no relevance → remove
Slide 9: After pruning | Fix internal links to old URLs, update the sitemap, re-check in 8 weeks
Slide 10: Get the sheet | Comment "PRUNE" for the Content Pruning Decision Sheet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</si>
  <si>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Deleting blog posts can help your store rank | If you do it right. Here's the framework
Slide 2: The problem | Thin, outdated and overlapping posts split your signals and waste crawl budget
Slide 3: The wrong way | Bulk-deleting everything with low traffic. You lose links, seasonal pages and context
Slide 4: Step 1 — Export the data | 12–16 months of GSC clicks + impressions, plus backlinks per URL
Slide 5: KEEP | Gets clicks, still accurate, matches search intent
Slide 6: REFRESH | Was strong, now declining or out of date. Update facts, products, examples
Slide 7: MERGE | Two or more posts competing for the same query. Combine into the strongest URL
Slide 8: REDIRECT or REMOVE | Has links or a better page exists → 301. No traffic, no links, no relevance → remove
Slide 9: After pruning | Fix internal links to old URLs, update the sitemap, re-check in 8 weeks
Slide 10: Get the sheet | Comment "PRUNE" for the Content Pruning Decision Sheet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</si>
  <si>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PRUNE</t>
  </si>
  <si>
    <t xml:space="preserve">Content Pruning Decision Sheet (Google Sheet with GSC import tab and decision rules)</t>
  </si>
  <si>
    <t xml:space="preserve">Some of your old blog posts are holding your store back.
Here's how to prune without breaking anything
---
The wrong way: delete everything with low traffic.
You lose backlinks, seasonal pages and topical context.
---
Pull 12–16 months of GSC data plus backlinks per URL.
Then put every post into one of 5 buckets.
---
KEEP: clicks, accurate, right intent
REFRESH: declining or outdated
MERGE: competing for the same query
REDIRECT: has links, better page exists
REMOVE: no traffic, links or relevance
---
After pruning:
→ 301 merged URLs to the strongest page
→ Fix internal links
→ Update the sitemap
→ Re-check in 8 weeks
Fewer pages isn't the goal. Better pages is. #EcommerceSEO #ContentAudit</t>
  </si>
  <si>
    <t xml:space="preserve">My process for deciding which old blog posts to keep, merge or remove on store sites</t>
  </si>
  <si>
    <t xml:space="preserve">I've seen a few people here bulk-delete low-traffic posts and then lose rankings they didn't expect. Usually it's because they removed pages with backlinks or seasonal pages that only get traffic a few months a year.
Here's the process I use for e-commerce blogs:
1. Export 12 to 16 months of Search Console data so seasonal posts show their real value.
2. Pull backlinks per URL.
3. Put every post into one of five buckets:
   - Keep: gets clicks, still accurate, right intent
   - Refresh: was performing, now declining or out of date
   - Merge: two or more posts targeting the same query
   - Redirect: little value alone, but has links or a better related page exists
   - Remove: no traffic, no links, no relevance to the products
4. 301 merged and redirected URLs to the strongest page.
5. Update internal links so nothing points to a redirect.
6. Check again after about eight weeks.
The merge bucket is usually where the biggest improvement comes from on store blogs.
What signals do you use to decide between refreshing a post and merging it?</t>
  </si>
  <si>
    <t xml:space="preserve">Query templates: the 8 search patterns behind every product niche</t>
  </si>
  <si>
    <t xml:space="preserve">Every product niche is searched with the same 8 patterns.</t>
  </si>
  <si>
    <t xml:space="preserve">query templates seo</t>
  </si>
  <si>
    <t xml:space="preserve">ecommerce keyword patterns, programmatic content ideas, search query patterns, keyword research for online stores</t>
  </si>
  <si>
    <t xml:space="preserve">Keyword research gets easier when you stop looking for keywords and start looking for patterns.
Search queries in every product niche follow the same templates. Swap the product, and the patterns repeat.
The 8 I map for every store:
→ best [product] for [need/person]
→ [product A] vs [product B]
→ how to use / clean / fix [product]
→ [product] size guide / how to choose size
→ is [product] worth it
→ [product] for [problem]
→ [product] alternatives
→ [product] + [attribute] (waterproof, vegan, wireless)
Run your main products through each template. You get a full topical map in an afternoon.
Then check each one:
→ Is it in your GSC data already?
→ What page type ranks for it?
→ Which collection does it belong to?
Templates also show you where you're missing whole page types. Most stores have zero "vs" and "alternatives" pages.
Comment "QUERYPATTERNS" and I'll send you the E-commerce Query Template Library.
#KeywordResearch #EcommerceSEO #SemanticSEO #ContentStrategy</t>
  </si>
  <si>
    <t xml:space="preserve">#KeywordResearch #EcommerceSEO #SemanticSEO #ContentStrategy</t>
  </si>
  <si>
    <t xml:space="preserve">Stop hunting keywords. Map patterns.
→ best [product] for [need]
→ [A] vs [B]
→ how to use [product]
→ [product] size guide
→ is [product] worth it
→ [product] for [problem]
→ [product] alternatives
→ [product] + [attribute]
Run your products through all 8. You'll find whole page types you're missing.
Save this for your next content plan.
Comment "QUERYPATTERNS" for the Query Template Library.
#keywordresearch #ecommerceseo #semanticseo #contentstrategy #seotips #shopifyseo #onlinestore #searchengineoptimization #woocommerceseo #contentideas #digitalmarketing #seoforbusiness</t>
  </si>
  <si>
    <t xml:space="preserve">#keywordresearch #ecommerceseo #semanticseo #contentstrategy #seotips #shopifyseo #onlinestore #searchengineoptimization #woocommerceseo #contentideas #digitalmarketing #seoforbusiness</t>
  </si>
  <si>
    <t xml:space="preserve">Single infographic, 1080x1350.
Headline (top, bold condensed): 8 QUERY TEMPLATES BEHIND EVERY PRODUCT NICHE
Sub-headline: Swap in your product. Get your content plan.
Layout: 3-column table, 8 rows, numbered.
Header row: Template | Example (product = "hiking boots") | Page type
01 | best [product] for [need] | best hiking boots for wide feet | Best-for guide
02 | [A] vs [B] | leather vs synthetic hiking boots | Versus page
03 | how to use / clean [product] | how to waterproof hiking boots | How-to guide
04 | [product] size guide | hiking boots size guide | Size guide page
05 | is [product] worth it | are expensive hiking boots worth it | Buying advice article
06 | [product] for [problem] | hiking boots for ankle support | Collection or guide
07 | [product] alternatives | alternatives to hiking boots | Comparison article
08 | [product] + [attribute] | waterproof hiking boots | Filtered collection page
Bottom callout: "Most stores have zero 'vs' and 'alternatives' pages."
Footer: Comment "QUERYPATTERNS" for the template library | Muhammad Mehrooz Shafique,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</si>
  <si>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"Every product niche is searched with the same 8 patterns."
SUBHEAD: "Query templates: the 8 search patterns behind every product niche"
MAIN VISUAL: the layout described below containing exactly: 
Single infographic, 1080x1350.
Headline (top, bold condensed): 8 QUERY TEMPLATES BEHIND EVERY PRODUCT NICHE
Sub-headline: Swap in your product. Get your content plan.
Layout: 3-column table, 8 rows, numbered.
Header row: Template | Example (product = "hiking boots") | Page type
01 | best [product] for [need] | best hiking boots for wide feet | Best-for guide
02 | [A] vs [B] | leather vs synthetic hiking boots | Versus page
03 | how to use / clean [product] | how to waterproof hiking boots | How-to guide
04 | [product] size guide | hiking boots size guide | Size guide page
05 | is [product] worth it | are expensive hiking boots worth it | Buying advice article
06 | [product] for [problem] | hiking boots for ankle support | Collection or guide
07 | [product] alternatives | alternatives to hiking boots | Comparison article
08 | [product] + [attribute] | waterproof hiking boots | Filtered collection page
Bottom callout: "Most stores have zero 'vs' and 'alternatives' pages."
Footer: Comment "QUERYPATTERNS" for the template library | Muhammad Mehrooz Shafique, Permanent SEO
CTA BANNER (bottom, navy rounded box, white text, keyword in blue): Comment "QUERYPATTERNS" for E-commerce Query Template Library (Google Sheet, 8 patterns with modifiers by category)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</si>
  <si>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"Every product niche is searched with the same 8 patterns."
BODY (numbered points / simple visual): the 3–5 key points from this brief, shortened to max 8 words each:
Single infographic, 1080x1350.
Headline (top, bold condensed): 8 QUERY TEMPLATES BEHIND EVERY PRODUCT NICHE
Sub-headline: Swap in your product. Get your content plan.
Layout: 3-column table, 8 rows, numbered.
Header row: Template | Example (product = "hiking boots") | Page type
01 | best [product] for [need] | best hiking boots for wide feet | Best-for guide
02 | [A] vs [B] | leather vs synthetic hiking boots | Versus page
03 | how to use / clean [product] | how to waterproof hiking boots | How-to guide
04 | [product] size guide | hiking boots size guide | Size guide page
05 | is [product] worth it | are expensive hiking boots worth it | Buying advice article
06 | [product] for [problem] | hiking boots for ankle support | Collection or guide
07 | [product] alternatives | alternatives to hiking boots | Comparison article
08 | [product] + [attribute] | waterproof hiking boots | Filtered collection page
Bottom callout: "Most stores have zero 'vs' and 'alternatives' pages."
Footer: Comment "QUERYPATTERNS" for the template library | Muhammad Mehrooz Shafique, Permanent SEO
BOTTOM BAR: Comment "QUERYPATTERNS" for E-commerce Query Template Library (Google Sheet, 8 patterns with modifiers by category)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</si>
  <si>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QUERYPATTERNS</t>
  </si>
  <si>
    <t xml:space="preserve">E-commerce Query Template Library (Google Sheet, 8 patterns with modifiers by category)</t>
  </si>
  <si>
    <t xml:space="preserve">Every product niche is searched with the same 8 patterns:
best X for Y
A vs B
how to use X
X size guide
is X worth it
X for [problem]
X alternatives
X + attribute
Swap in your products. That's your content plan. #KeywordResearch</t>
  </si>
  <si>
    <t xml:space="preserve">Myth: E-E-A-T for stores is just an author bio</t>
  </si>
  <si>
    <t xml:space="preserve">We don't add an author bio. We show the testing.</t>
  </si>
  <si>
    <t xml:space="preserve">eeat for ecommerce</t>
  </si>
  <si>
    <t xml:space="preserve">experience expertise ecommerce, product testing content, trust signals online store, first-hand experience seo</t>
  </si>
  <si>
    <t xml:space="preserve">We don't add an author bio. We show the testing.
A lot of stores think E-E-A-T means adding a headshot and "10 years' experience" under every post.
That's a start. It isn't proof.
Google's own guidance talks about first-hand experience. For a store, that means showing you used the product.
Before we publish a review or buying guide, three things need to be clear:
→ Who tested it, and what's their background?
→ What exactly did they test, and how?
→ What did they find that a spec sheet wouldn't show?
Without those, a bio is just decoration.
For a skincare store, that could be a two-week patch test with photos. For a tool store, real measurements from the workshop. Small details a copywriter can't fake.
Real photos. Real measurements. Real opinions.
Comment "TESTED" and I'll send you the Product Testing Evidence Checklist.
#EEAT #EcommerceSEO #SemanticSEO #ContentQuality</t>
  </si>
  <si>
    <t xml:space="preserve">#EEAT #EcommerceSEO #SemanticSEO #ContentQuality</t>
  </si>
  <si>
    <t xml:space="preserve">An author bio isn't E-E-A-T. Testing is.
Show readers:
→ Who tested it
→ What they tested, and how
→ What they found that specs don't show
A headshot and a job title are a start, not proof.
Real photos. Real measurements. Real opinions. Experience is shown, not claimed.
Share this with someone who thinks a headshot fixes trust.
Comment "TESTED" for the Product Testing Evidence Checklist.
#eeat #ecommerceseo #semanticseo #googleseo #seomyths #seotips #productreview #shopifyseo #onlinestore #trustsignals #reelsforbusiness #contentquality</t>
  </si>
  <si>
    <t xml:space="preserve">#eeat #ecommerceseo #semanticseo #googleseo #seomyths #seotips #productreview #shopifyseo #onlinestore #trustsignals #reelsforbusiness #contentquality</t>
  </si>
  <si>
    <t xml:space="preserve">[0-2s] VO: We don't add an author bio. | ON-SCREEN: WE DON'T ADD AN AUTHOR BIO. | VISUAL: Generic headshot + bio card, crossed out
[2-4s] VO: We show the testing. | ON-SCREEN: WE SHOW THE TESTING. | VISUAL: Hands measuring a product with calipers
[4-7s] VO: Most stores stop here. | ON-SCREEN: MOST STORES STOP HERE | VISUAL: Author box sliding in
[7-8s] VO: Headshot. | ON-SCREEN: HEADSHOT. | VISUAL: One word
[8-9s] VO: Job title. | ON-SCREEN: JOB TITLE. | VISUAL: One word
[9-10s] VO: Years of experience. | ON-SCREEN: "10 YEARS' EXPERIENCE." | VISUAL: One line
[10-13s] VO: But first, three things need to be clear. | ON-SCREEN: BUT FIRST, 3 THINGS | VISUAL: Numbered list
[13-16s] VO: Who tested it? | ON-SCREEN: 1. WHO TESTED IT? | VISUAL: Real person holding product
[16-19s] VO: How did they test it? | ON-SCREEN: 2. HOW? | VISUAL: Test setup photo, stopwatch
[19-22s] VO: What did they actually find? | ON-SCREEN: 3. WHAT DID THEY FIND? | VISUAL: Notebook with handwritten results
[22-25s] VO: Without that, a bio doesn't build trust. | ON-SCREEN: BIO ≠ TRUST | VISUAL: Bio card fades
[25-27s] VO: It just decorates the page. | ON-SCREEN: IT DECORATES THE PAGE. | VISUAL: Ornamental frame around empty page
[27-31s] VO: Experience is shown, not claimed. Comment tested. | ON-SCREEN: Comment "TESTED" | VISUAL: Logo + handle</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</si>
  <si>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add an author bio. | ON-SCREEN: WE DON'T ADD AN AUTHOR BIO. | VISUAL: Generic headshot + bio card, crossed out
[2-4s] VO: We show the testing. | ON-SCREEN: WE SHOW THE TESTING. | VISUAL: Hands measuring a product with calipers
[4-7s] VO: Most stores stop here. | ON-SCREEN: MOST STORES STOP HERE | VISUAL: Author box sliding in
[7-8s] VO: Headshot. | ON-SCREEN: HEADSHOT. | VISUAL: One word
[8-9s] VO: Job title. | ON-SCREEN: JOB TITLE. | VISUAL: One word
[9-10s] VO: Years of experience. | ON-SCREEN: "10 YEARS' EXPERIENCE." | VISUAL: One line
[10-13s] VO: But first, three things need to be clear. | ON-SCREEN: BUT FIRST, 3 THINGS | VISUAL: Numbered list
[13-16s] VO: Who tested it? | ON-SCREEN: 1. WHO TESTED IT? | VISUAL: Real person holding product
[16-19s] VO: How did they test it? | ON-SCREEN: 2. HOW? | VISUAL: Test setup photo, stopwatch
[19-22s] VO: What did they actually find? | ON-SCREEN: 3. WHAT DID THEY FIND? | VISUAL: Notebook with handwritten results
[22-25s] VO: Without that, a bio doesn't build trust. | ON-SCREEN: BIO ≠ TRUST | VISUAL: Bio card fades
[25-27s] VO: It just decorates the page. | ON-SCREEN: IT DECORATES THE PAGE. | VISUAL: Ornamental frame around empty page
[27-31s] VO: Experience is shown, not claimed. Comment tested. | ON-SCREEN: Comment "TESTED" | VISUAL: Logo + handle
Final 3 s: dark/navy end card with Permanent SEO logo, 'SEO for E-commerce Brands' and 'Comment "TESTED"'. Burned-in captions. All text spelled exactly as written, sharp and legible on mobile; no extra words, no watermarks.</t>
  </si>
  <si>
    <t xml:space="preserve">TESTED</t>
  </si>
  <si>
    <t xml:space="preserve">Product Testing Evidence Checklist (PDF: what to photograph, measure and record)</t>
  </si>
  <si>
    <t xml:space="preserve">We don't add an author bio.
We show the testing.
For a store, E-E-A-T means:
→ Who tested it
→ How they tested it
→ What they found that specs don't show
Experience is shown, not claimed. #EEAT #EcommerceSEO</t>
  </si>
  <si>
    <t xml:space="preserve">E-E-A-T for E-commerce: Why an Author Bio Isn't Enough</t>
  </si>
  <si>
    <t xml:space="preserve">E-E-A-T for e-commerce stores goes beyond author bios. Show who tested the product, how they tested it, and what they found, with real photos and measurements. #Shorts</t>
  </si>
  <si>
    <t xml:space="preserve">eeat for ecommerce, e-e-a-t, ecommerce seo, product testing, author bio seo, trust signals, google helpful content, semantic seo, seo myths, shopify seo</t>
  </si>
  <si>
    <t xml:space="preserve">Refreshing old blog posts: bring decaying traffic back</t>
  </si>
  <si>
    <t xml:space="preserve">Your best blog post is quietly losing clicks every month.</t>
  </si>
  <si>
    <t xml:space="preserve">refresh old blog posts seo</t>
  </si>
  <si>
    <t xml:space="preserve">content decay, update old content, content refresh ecommerce, declining organic traffic blog</t>
  </si>
  <si>
    <t xml:space="preserve">Your best blog post from two years ago is probably losing clicks right now. Slowly. Every month.
It's called content decay. Competitors publish fresher pages. Products you mention go out of stock. Search intent shifts.
Most stores respond by writing something new. Usually the better move is to fix what's already ranking.
Our refresh process:
→ Find decay: compare the last 3 months with the same 3 months last year in GSC, sorted by lost clicks
→ Re-check intent: Google the main query. Has the page type changed?
→ Update facts: prices, specs, discontinued products, dates
→ Add information gain: new testing, new FAQs from support, new photos
→ Re-link: point to current collections and in-stock products
→ Keep the URL. Update the "last updated" date only when the change is real
Don't just change the date. Google can see when nothing changed.
A refresh often takes a fraction of the time of a new post, and starts from a page Google already trusts.
Comment "REFRESH" and I'll send you the Blog Refresh SOP.
#EcommerceSEO #ContentStrategy #SemanticSEO #ContentRefresh</t>
  </si>
  <si>
    <t xml:space="preserve">#EcommerceSEO #ContentStrategy #SemanticSEO #ContentRefresh</t>
  </si>
  <si>
    <t xml:space="preserve">Your best post is losing clicks. Slowly.
Fix it before you write anything new:
→ Find decay in GSC
→ Re-check search intent
→ Update prices, specs, products
→ Add new testing and FAQs
→ Re-link to in-stock products
Never just change the date. Google can see when nothing changed.
Save this for your next content day.
Comment "REFRESH" for the Blog Refresh SOP.
#ecommerceseo #contentrefresh #contentdecay #semanticseo #seotips #blogging #shopifyseo #onlinestore #googlesearchconsole #contentmarketing #seostrategy #woocommerceseo</t>
  </si>
  <si>
    <t xml:space="preserve">#ecommerceseo #contentrefresh #contentdecay #semanticseo #seotips #blogging #shopifyseo #onlinestore #googlesearchconsole #contentmarketing #seostrategy #woocommerceseo</t>
  </si>
  <si>
    <t xml:space="preserve">Scene 1 [0-8s] VO: Hmm. Search Console. That post used to bring in loads of traffic... when did that happen? | VISUAL: Owner looking at a GSC line chart sliding down slowly over 12 months
Scene 2 [8-18s] VO: Let's be honest. Your content didn't stop being good overnight. It just got old. Prices changed. Products went out of stock. Competitors updated theirs. | VISUAL: Old blog post with crossed-out prices, "Out of stock" badges
Scene 3 [18-30s] VO: So you write a brand new post. It starts from zero. Meanwhile the one Google already trusted keeps sliding. | VISUAL: New post at the bottom of rankings, old post falling down beside it
Scene 4 [30-36s] VO: It's time to change that. | VISUAL: Hard cut, refresh icon spins
Scene 5 [36-46s] VO: At Permanent SEO, we fix what's already ranking before we write anything new. | VISUAL: Brand frame, toolbox opening
Scene 6 [46-58s] VO: Step one. Find decay. Compare the last three months with the same period last year, sorted by lost clicks. | VISUAL: GSC comparison table, rows highlighting in red
Scene 7 [58-70s] VO: Step two. Re-check intent. Google the query again. Has the page type changed? | VISUAL: SERP morphing from blogs to comparison pages
Scene 8 [70-84s] VO: Step three. Update facts and add something new. Fresh testing, new questions from support, current products. | VISUAL: Post updating live, new photos dropping in
Scene 9 [84-94s] VO: Step four. Re-link to live collections. Keep the URL. Never just change the date. | VISUAL: Links reconnecting to collection page, URL bar locked
Scene 10 [94-102s] VO: Result? [CLIENT RESULT: +X% clicks recovered in X weeks]. | VISUAL: Placeholder chart "[YOUR GSC DATA]" curving back up
Scene 11 [102-112s] VO: Comment REFRESH for our SOP. Or book a free e-commerce SEO audit with Permanent SEO. | VISUAL: CTA card, logo, Muhammad Mehrooz Shafique name tag</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</si>
  <si>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Hmm. Search Console. That post used to bring in loads of traffic... when did that happen? | VISUAL: Owner looking at a GSC line chart sliding down slowly over 12 months
Scene 2 [8-18s] VO: Let's be honest. Your content didn't stop being good overnight. It just got old. Prices changed. Products went out of stock. Competitors updated theirs. | VISUAL: Old blog post with crossed-out prices, "Out of stock" badges
Scene 3 [18-30s] VO: So you write a brand new post. It starts from zero. Meanwhile the one Google already trusted keeps sliding. | VISUAL: New post at the bottom of rankings, old post falling down beside it
Scene 4 [30-36s] VO: It's time to change that. | VISUAL: Hard cut, refresh icon spins
Scene 5 [36-46s] VO: At Permanent SEO, we fix what's already ranking before we write anything new. | VISUAL: Brand frame, toolbox opening
Scene 6 [46-58s] VO: Step one. Find decay. Compare the last three months with the same period last year, sorted by lost clicks. | VISUAL: GSC comparison table, rows highlighting in red
Scene 7 [58-70s] VO: Step two. Re-check intent. Google the query again. Has the page type changed? | VISUAL: SERP morphing from blogs to comparison pages
Scene 8 [70-84s] VO: Step three. Update facts and add something new. Fresh testing, new questions from support, current products. | VISUAL: Post updating live, new photos dropping in
Scene 9 [84-94s] VO: Step four. Re-link to live collections. Keep the URL. Never just change the date. | VISUAL: Links reconnecting to collection page, URL bar locked
Scene 10 [94-102s] VO: Result? [CLIENT RESULT: +X% clicks recovered in X weeks]. | VISUAL: Placeholder chart "[YOUR GSC DATA]" curving back up
Scene 11 [102-112s] VO: Comment REFRESH for our SOP. Or book a free e-commerce SEO audit with Permanent SEO. | VISUAL: CTA card, logo, Muhammad Mehrooz Shafique name tag
End card: Permanent SEO logo + 'Comment "REFRESH"'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</si>
  <si>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Hmm. Search Console. That post used to bring in loads of traffic... when did that happen? | VISUAL: Owner looking at a GSC line chart sliding down slowly over 12 months
Scene 2 [8-18s] VO: Let's be honest. Your content didn't stop being good overnight. It just got old. Prices changed. Products went out of stock. Competitors updated theirs. | VISUAL: Old blog post with crossed-out prices, "Out of stock" badges
Scene 3 [18-30s] VO: So you write a brand new post. It starts from zero. Meanwhile the one Google already trusted keeps sliding. | VISUAL: New post at the bottom of rankings, old post falling down beside it
Scene 4 [30-36s] VO: It's time to change that. | VISUAL: Hard cut, refresh icon spins
Scene 5 [36-46s] VO: At Permanent SEO, we fix what's already ranking before we write anything new. | VISUAL: Brand frame, toolbox opening
Scene 6 [46-58s] VO: Step one. Find decay. Compare the last three months with the same period last year, sorted by lost clicks. | VISUAL: GSC comparison table, rows highlighting in red
Scene 7 [58-70s] VO: Step two. Re-check intent. Google the query again. Has the page type changed? | VISUAL: SERP morphing from blogs to comparison pages
Scene 8 [70-84s] VO: Step three. Update facts and add something new. Fresh testing, new questions from support, current products. | VISUAL: Post updating live, new photos dropping in
Scene 9 [84-94s] VO: Step four. Re-link to live collections. Keep the URL. Never just change the date. | VISUAL: Links reconnecting to collection page, URL bar locked
Scene 10 [94-102s] VO: Result? [CLIENT RESULT: +X% clicks recovered in X weeks]. | VISUAL: Placeholder chart "[YOUR GSC DATA]" curving back up
Scene 11 [102-112s] VO: Comment REFRESH for our SOP. Or book a free e-commerce SEO audit with Permanent SEO. | VISUAL: CTA card, logo, Muhammad Mehrooz Shafique name tag
Final 3 s: dark/navy end card with Permanent SEO logo, 'SEO for E-commerce Brands' and 'Comment "REFRESH"'. Burned-in captions. All text spelled exactly as written, sharp and legible on mobile; no extra words, no watermarks.</t>
  </si>
  <si>
    <t xml:space="preserve">REFRESH</t>
  </si>
  <si>
    <t xml:space="preserve">Blog Refresh SOP (step-by-step Google Doc + GSC decay finder sheet)</t>
  </si>
  <si>
    <t xml:space="preserve">Your best blog post is losing clicks slowly every month.
Before writing something new:
→ Find decay in GSC
→ Re-check intent
→ Update facts, add new info
→ Re-link to in-stock products
Never just change the date. #EcommerceSEO #ContentStrategy</t>
  </si>
  <si>
    <t xml:space="preserve">Refresh Old Blog Posts for SEO: Fix Content Decay in 4 Steps</t>
  </si>
  <si>
    <t xml:space="preserve">How to refresh old blog posts for SEO on an e-commerce store: find content decay in Google Search Console, re-check intent, update facts and re-link to live products. Muhammad Mehrooz Shafique from Permanent SEO explains the process.</t>
  </si>
  <si>
    <t xml:space="preserve">refresh old blog posts seo, content decay, content refresh, update old content, ecommerce seo, google search console, blog seo, shopify seo, content strategy, permanent seo</t>
  </si>
  <si>
    <t xml:space="preserve">Result breakdown: the seasonal URL we kept instead of deleting</t>
  </si>
  <si>
    <t xml:space="preserve">Valentine's is over. Don't you dare delete that page.</t>
  </si>
  <si>
    <t xml:space="preserve">seasonal landing page seo</t>
  </si>
  <si>
    <t xml:space="preserve">evergreen seasonal url, after holiday seo, seasonal page redirect, valentine's page after february</t>
  </si>
  <si>
    <t xml:space="preserve">Valentine's Day is over. This is the week a lot of stores delete their gift guide or redirect it to the homepage.
Please don't.
[Client: UK jewellery store] used to build a new Valentine's page every year, with the year in the URL. Every February it started from zero.
What we changed:
→ Moved to one permanent URL: /valentines-gifts/
→ 301-redirected the old yearly URLs to it
→ After the peak, kept the page live with a short "Back next year" note and links to evergreen gift collections
→ Kept it in the internal links from the gifts hub all year
→ Refreshed the picks and title the following January
Results:
✅ [+X% seasonal organic clicks year on year]
✅ [Page ranked in top X by early February instead of after the peak]
✅ [X referring domains kept instead of lost]
Seasonal pages should build up like savings. Not get spent every year.
Comment "KEEPURL" and I'll send you the Seasonal Page Off-Season Checklist.
#EcommerceSEO #SeasonalSEO #CaseStudy #ShopifySEO</t>
  </si>
  <si>
    <t xml:space="preserve">#EcommerceSEO #SeasonalSEO #CaseStudy #ShopifySEO</t>
  </si>
  <si>
    <t xml:space="preserve">Valentine's is over. Keep the page.
What we did for [Client: UK jewellery store]:
→ One permanent URL, no year
→ Old yearly URLs 301'd to it
→ Page stays live off-season
→ Links to evergreen gift collections
Result: [+X% seasonal clicks year on year]
Seasonal pages should build up every year, not reset.
Save this before you delete anything.
Comment "KEEPURL" for the Seasonal Page Off-Season Checklist.
#ecommerceseo #seasonalseo #seocasestudy #shopifyseo #valentinesday #onlinestore #seotips #ecommercemarketing #landingpage #seoresults #woocommerceseo #smallbusinesstips</t>
  </si>
  <si>
    <t xml:space="preserve">#ecommerceseo #seasonalseo #seocasestudy #shopifyseo #valentinesday #onlinestore #seotips #ecommercemarketing #landingpage #seoresults #woocommerceseo #smallbusinesstips</t>
  </si>
  <si>
    <t xml:space="preserve">Single image, 1080x1350, result breakdown.
Headline (top, bold condensed): VALENTINE'S IS OVER. KEEP THE PAGE.
Sub-headline: [Client: UK jewellery store] — seasonal URL result
Top section, two URL timelines side by side:
Left "BEFORE" (red ❌ markers): /valentines-2025/ → deleted | /valentines-2026/ → deleted | /valentines-2027/ → starts from zero
Right "AFTER" (green ✅ markers): /valentines-gifts/ with 3 stacked bars labelled Year 1, Year 2, Year 3 growing taller
Middle section, 4 numbered steps:
1. One permanent URL, no year in the slug
2. Old yearly URLs 301-redirected to it
3. Off-season: live page + links to evergreen gift collections
4. Refresh picks and title every January
Bottom results band, 3 stat boxes: [+X% seasonal clicks YoY] | [Top X by early Feb] | [X referring domains kept]
Footer banner: Comment "KEEPURL" for the off-season checklist | Muhammad Mehrooz Shafique,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</si>
  <si>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"Valentine's is over. Don't you dare delete that page."
SUBHEAD: "Result breakdown: the seasonal URL we kept instead of deleting"
MAIN VISUAL: the layout described below containing exactly: 
Single image, 1080x1350, result breakdown.
Headline (top, bold condensed): VALENTINE'S IS OVER. KEEP THE PAGE.
Sub-headline: [Client: UK jewellery store] — seasonal URL result
Top section, two URL timelines side by side:
Left "BEFORE" (red ❌ markers): /valentines-2025/ → deleted | /valentines-2026/ → deleted | /valentines-2027/ → starts from zero
Right "AFTER" (green ✅ markers): /valentines-gifts/ with 3 stacked bars labelled Year 1, Year 2, Year 3 growing taller
Middle section, 4 numbered steps:
1. One permanent URL, no year in the slug
2. Old yearly URLs 301-redirected to it
3. Off-season: live page + links to evergreen gift collections
4. Refresh picks and title every January
Bottom results band, 3 stat boxes: [+X% seasonal clicks YoY] | [Top X by early Feb] | [X referring domains kept]
Footer banner: Comment "KEEPURL" for the off-season checklist | Muhammad Mehrooz Shafique, Permanent SEO
CTA BANNER (bottom, navy rounded box, white text, keyword in blue): Comment "KEEPURL" for Seasonal Page Off-Season Checklist (PDF: what to change after the peak and what to keep)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</si>
  <si>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"Valentine's is over. Don't you dare delete that page."
BODY (numbered points / simple visual): the 3–5 key points from this brief, shortened to max 8 words each:
Single image, 1080x1350, result breakdown.
Headline (top, bold condensed): VALENTINE'S IS OVER. KEEP THE PAGE.
Sub-headline: [Client: UK jewellery store] — seasonal URL result
Top section, two URL timelines side by side:
Left "BEFORE" (red ❌ markers): /valentines-2025/ → deleted | /valentines-2026/ → deleted | /valentines-2027/ → starts from zero
Right "AFTER" (green ✅ markers): /valentines-gifts/ with 3 stacked bars labelled Year 1, Year 2, Year 3 growing taller
Middle section, 4 numbered steps:
1. One permanent URL, no year in the slug
2. Old yearly URLs 301-redirected to it
3. Off-season: live page + links to evergreen gift collections
4. Refresh picks and title every January
Bottom results band, 3 stat boxes: [+X% seasonal clicks YoY] | [Top X by early Feb] | [X referring domains kept]
Footer banner: Comment "KEEPURL" for the off-season checklist | Muhammad Mehrooz Shafique, Permanent SEO
BOTTOM BAR: Comment "KEEPURL" for Seasonal Page Off-Season Checklist (PDF: what to change after the peak and what to keep)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</si>
  <si>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KEEPURL</t>
  </si>
  <si>
    <t xml:space="preserve">Seasonal Page Off-Season Checklist (PDF: what to change after the peak and what to keep)</t>
  </si>
  <si>
    <t xml:space="preserve">Valentine's is over. Don't delete the gift guide.
We moved a jewellery client to one permanent seasonal URL, 301'd the yearly ones, kept it live off-season.
[+X% seasonal clicks YoY]
Seasonal pages should build up, not reset. #EcommerceSEO</t>
  </si>
  <si>
    <t xml:space="preserve">How to build author pages that prove expertise on a store</t>
  </si>
  <si>
    <t xml:space="preserve">Your store's blog is written by "Admin". Google noticed.</t>
  </si>
  <si>
    <t xml:space="preserve">author page seo</t>
  </si>
  <si>
    <t xml:space="preserve">eeat author page, ecommerce author bio, expert reviewer page, person schema author</t>
  </si>
  <si>
    <t xml:space="preserve">Open any store blog. Check the author. Nine times out of ten it says "Admin" or the store name.
That's a missed chance to show who actually knows the products.
An author page connects your content to a real person with real experience. It helps readers trust you, and gives search engines a clear entity behind the advice.
What a strong store author page includes:
→ Full name and real photo
→ Role at the store and what they do with the products day to day
→ Relevant experience, qualifications or certifications
→ What they personally test or review, and how
→ Links to their articles on your site
→ Links to profiles elsewhere (LinkedIn, industry bodies)
→ Person schema with sameAs links
Then:
→ Show a short author box on every guide, linking to the full page
→ Add "Reviewed by" for expert-checked content
→ Never invent credentials
One honest author page beats 100 posts by "Admin".
Comment "AUTHORPAGE" and I'll send you the Store Author Page Template.
#EEAT #EcommerceSEO #SemanticSEO #ShopifySEO</t>
  </si>
  <si>
    <t xml:space="preserve">#EEAT #EcommerceSEO #SemanticSEO #ShopifySEO</t>
  </si>
  <si>
    <t xml:space="preserve">Written by "Admin" isn't building trust.
A real author page shows:
→ Name and real photo
→ Role at the store
→ Experience and certifications
→ What they test and how
→ Links to their articles and profiles
Add an author box on every guide.
Save this and fix your blog this week.
Comment "AUTHORPAGE" for the Store Author Page Template.
#eeat #ecommerceseo #semanticseo #shopifyseo #authorpage #seotips #onlinestore #personalbrand #woocommerceseo #contentquality #googleseo #ecommercetips</t>
  </si>
  <si>
    <t xml:space="preserve">#eeat #ecommerceseo #semanticseo #shopifyseo #authorpage #seotips #onlinestore #personalbrand #woocommerceseo #contentquality #googleseo #ecommercetips</t>
  </si>
  <si>
    <t xml:space="preserve">Slide 1: Your store's blog is written by "Admin". Google noticed. | How to build author pages that prove expertise
Slide 2: Why it matters | Author pages connect your advice to a real person with real experience
Slide 3: 1. Name + real photo | No stock images. No first-name-only
Slide 4: 2. Role at the store | What they do with the products every day: buyer, tester, founder, stylist
Slide 5: 3. Experience + credentials | Years in the trade, qualifications, certifications. Only real ones
Slide 6: 4. How they test | What they personally use, review or compare, and their process
Slide 7: 5. Their work + profiles | List of their articles on your site, links to LinkedIn and industry bodies
Slide 8: 6. Person schema | Name, jobTitle, worksFor, sameAs links to profiles
Slide 9: Then connect it | Author box on every guide, linking to the full page. "Reviewed by" for expert-checked content
Slide 10: Get the template | Comment "AUTHORPAGE" for the Store Author Page Template + follow Muhammad Mehrooz Shafique</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</si>
  <si>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Your store's blog is written by "Admin". Google noticed. | How to build author pages that prove expertise
Slide 2: Why it matters | Author pages connect your advice to a real person with real experience
Slide 3: 1. Name + real photo | No stock images. No first-name-only
Slide 4: 2. Role at the store | What they do with the products every day: buyer, tester, founder, stylist
Slide 5: 3. Experience + credentials | Years in the trade, qualifications, certifications. Only real ones
Slide 6: 4. How they test | What they personally use, review or compare, and their process
Slide 7: 5. Their work + profiles | List of their articles on your site, links to LinkedIn and industry bodies
Slide 8: 6. Person schema | Name, jobTitle, worksFor, sameAs links to profiles
Slide 9: Then connect it | Author box on every guide, linking to the full page. "Reviewed by" for expert-checked content
Slide 10: Get the template | Comment "AUTHORPAGE" for the Store Author Page Template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</si>
  <si>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Your store's blog is written by "Admin". Google noticed. | How to build author pages that prove expertise
Slide 2: Why it matters | Author pages connect your advice to a real person with real experience
Slide 3: 1. Name + real photo | No stock images. No first-name-only
Slide 4: 2. Role at the store | What they do with the products every day: buyer, tester, founder, stylist
Slide 5: 3. Experience + credentials | Years in the trade, qualifications, certifications. Only real ones
Slide 6: 4. How they test | What they personally use, review or compare, and their process
Slide 7: 5. Their work + profiles | List of their articles on your site, links to LinkedIn and industry bodies
Slide 8: 6. Person schema | Name, jobTitle, worksFor, sameAs links to profiles
Slide 9: Then connect it | Author box on every guide, linking to the full page. "Reviewed by" for expert-checked content
Slide 10: Get the template | Comment "AUTHORPAGE" for the Store Author Page Template +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</si>
  <si>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AUTHORPAGE</t>
  </si>
  <si>
    <t xml:space="preserve">Store Author Page Template (Google Doc + Person schema example)</t>
  </si>
  <si>
    <t xml:space="preserve">Most store blogs are written by "Admin".
That's a missed trust signal.
Here's how to build an author page that proves expertise
---
1. Full name and a real photo. No stock images.
2. Role at the store and what they do with the products every day.
---
3. Relevant experience and credentials. Only real ones.
4. What they personally test or review, and how.
---
5. Their articles on your site + external profiles.
6. Person schema with sameAs links.
---
Then add a short author box to every guide, linking to the full page.
Use "Reviewed by" for expert-checked content.
One real author beats 100 posts by "Admin". #EEAT #EcommerceSEO</t>
  </si>
  <si>
    <t xml:space="preserve">What I include on author pages for store blogs (instead of 'Posted by Admin')</t>
  </si>
  <si>
    <t xml:space="preserve">Most store blogs I look at credit posts to "Admin" or the store name. It's an easy thing to fix and it helps readers know who is behind the advice, especially for product reviews and buying guides.
What I put on an author page for a store:
- Full name and a real photo
- Their role and what they actually do with the products (buying, testing, styling, repairs)
- Relevant experience or qualifications, only real ones
- How they test or review products
- A list of their articles on the site
- Links to their profiles elsewhere, like LinkedIn or an industry association
- Person structured data with links to those profiles
Then each guide gets a short author box linking to that page. For anything that needs expert checking, like supplements or skincare, I add a separate "Reviewed by" line with the reviewer's details.
Small stores sometimes worry they don't have "experts". The founder who has handled the product for years usually counts.
Who writes the content on your store, and do you show it?</t>
  </si>
  <si>
    <t xml:space="preserve">Anatomy of a product comparison page that ranks and converts</t>
  </si>
  <si>
    <t xml:space="preserve">"X vs Y" searchers are one decision away from buying.</t>
  </si>
  <si>
    <t xml:space="preserve">product comparison page seo</t>
  </si>
  <si>
    <t xml:space="preserve">x vs y pages, comparison content ecommerce, versus page template, commercial investigation keywords</t>
  </si>
  <si>
    <t xml:space="preserve">Someone searching "Dyson V15 vs V12" has already decided to buy. They're choosing which one.
That's one of the most valuable searches in e-commerce. And most stores don't have a page for it.
Here's the anatomy of a comparison page that ranks and converts:
→ 1. Quick verdict at the top: "Choose A if..., choose B if..."
→ 2. Side-by-side spec table with the attributes buyers care about
→ 3. Key differences explained in plain language (3–5 sections)
→ 4. First-hand testing: photos, measurements, what you noticed
→ 5. Who each one is NOT for
→ 6. Price and availability, linked to both product pages
→ 7. FAQ from real customer questions
→ 8. Link to the parent collection for people still browsing
The quick verdict matters most. Answer the question first. AI search tools tend to pull short, direct answers like that.
Be fair. If the cheaper option is better for most people, say so. Trust sells.
Comment "VERSUS" and I'll send you the Product Comparison Page Wireframe.
#EcommerceSEO #ConversionOptimisation #SemanticSEO #ContentStrategy</t>
  </si>
  <si>
    <t xml:space="preserve">#EcommerceSEO #ConversionOptimisation #SemanticSEO #ContentStrategy</t>
  </si>
  <si>
    <t xml:space="preserve">"X vs Y" searchers are ready to buy. They're just choosing.
Your page needs:
→ Quick verdict first
→ Side-by-side spec table
→ Key differences in plain words
→ Your own testing
→ Who each is NOT for
→ Links to both products
Be fair. If the cheaper one suits most people, say so. Trust sells.
Save this for your next page build.
Comment "VERSUS" for the Comparison Page Wireframe.
#ecommerceseo #comparisonpage #semanticseo #contentstrategy #conversionoptimization #shopifyseo #seotips #onlinestore #ecommercemarketing #landingpagedesign #woocommerceseo #uxdesign</t>
  </si>
  <si>
    <t xml:space="preserve">#ecommerceseo #comparisonpage #semanticseo #contentstrategy #conversionoptimization #shopifyseo #seotips #onlinestore #ecommercemarketing #landingpagedesign #woocommerceseo #uxdesign</t>
  </si>
  <si>
    <t xml:space="preserve">Single annotated wireframe image, 1080x1350.
Headline (top, bold condensed): ANATOMY OF A COMPARISON PAGE THAT CONVERTS
Sub-headline: For "Product A vs Product B" searches
Centre: a long vertical page wireframe (grey blocks) with 8 numbered callout tags pointing to sections:
1. Quick verdict box — "Choose A if... / Choose B if..."
2. Side-by-side spec table — 2 columns, 6 rows (Price, Weight, Battery, Power, Warranty, Best for)
3. Key differences — 3–5 short sections with sub-headings
4. First-hand testing — photo strip + measurement notes
5. "Not for you if..." — one box per product
6. Price + availability — two "View product" buttons
7. FAQ — 4 collapsed accordion rows
8. Collection link — "Browse all cordless vacuums"
Right margin: highlighted note next to callout 1: "Answer first. AI search tools tend to pull short, direct answers."
Footer: Comment "VERSUS" for the wireframe | Muhammad Mehrooz Shafique,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</si>
  <si>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""X vs Y" searchers are one decision away from buying."
SUBHEAD: "Anatomy of a product comparison page that ranks and converts"
MAIN VISUAL: the layout described below containing exactly: 
Single annotated wireframe image, 1080x1350.
Headline (top, bold condensed): ANATOMY OF A COMPARISON PAGE THAT CONVERTS
Sub-headline: For "Product A vs Product B" searches
Centre: a long vertical page wireframe (grey blocks) with 8 numbered callout tags pointing to sections:
1. Quick verdict box — "Choose A if... / Choose B if..."
2. Side-by-side spec table — 2 columns, 6 rows (Price, Weight, Battery, Power, Warranty, Best for)
3. Key differences — 3–5 short sections with sub-headings
4. First-hand testing — photo strip + measurement notes
5. "Not for you if..." — one box per product
6. Price + availability — two "View product" buttons
7. FAQ — 4 collapsed accordion rows
8. Collection link — "Browse all cordless vacuums"
Right margin: highlighted note next to callout 1: "Answer first. AI search tools tend to pull short, direct answers."
Footer: Comment "VERSUS" for the wireframe | Muhammad Mehrooz Shafique, Permanent SEO
CTA BANNER (bottom, navy rounded box, white text, keyword in blue): Comment "VERSUS" for Product Comparison Page Wireframe (Figma file + content brief)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</si>
  <si>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""X vs Y" searchers are one decision away from buying."
BODY (numbered points / simple visual): the 3–5 key points from this brief, shortened to max 8 words each:
Single annotated wireframe image, 1080x1350.
Headline (top, bold condensed): ANATOMY OF A COMPARISON PAGE THAT CONVERTS
Sub-headline: For "Product A vs Product B" searches
Centre: a long vertical page wireframe (grey blocks) with 8 numbered callout tags pointing to sections:
1. Quick verdict box — "Choose A if... / Choose B if..."
2. Side-by-side spec table — 2 columns, 6 rows (Price, Weight, Battery, Power, Warranty, Best for)
3. Key differences — 3–5 short sections with sub-headings
4. First-hand testing — photo strip + measurement notes
5. "Not for you if..." — one box per product
6. Price + availability — two "View product" buttons
7. FAQ — 4 collapsed accordion rows
8. Collection link — "Browse all cordless vacuums"
Right margin: highlighted note next to callout 1: "Answer first. AI search tools tend to pull short, direct answers."
Footer: Comment "VERSUS" for the wireframe | Muhammad Mehrooz Shafique, Permanent SEO
BOTTOM BAR: Comment "VERSUS" for Product Comparison Page Wireframe (Figma file + content brief)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</si>
  <si>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VERSUS</t>
  </si>
  <si>
    <t xml:space="preserve">Product Comparison Page Wireframe (Figma file + content brief)</t>
  </si>
  <si>
    <t xml:space="preserve">"X vs Y" searchers have already decided to buy. They're choosing which one.
Your comparison page needs:
1. Verdict first
2. Spec table
3. Key differences
4. Own testing
5. Who it's NOT for
6. Links to both products
Most stores have none. #EcommerceSEO</t>
  </si>
  <si>
    <t xml:space="preserve">Myth: content stops at the sale (how-to-use content)</t>
  </si>
  <si>
    <t xml:space="preserve">We don't stop at the sale. We write what comes after.</t>
  </si>
  <si>
    <t xml:space="preserve">how to use content ecommerce</t>
  </si>
  <si>
    <t xml:space="preserve">post-purchase content seo, product care guides, reduce returns with content, customer education ecommerce</t>
  </si>
  <si>
    <t xml:space="preserve">We don't stop at the sale. We write what comes after.
Most store content is built to get the first click. Buying guides. Best-of lists. Comparisons.
Then nothing for the customer who already bought.
But "how to use", "how to clean" and "how to fix" searches are part of your topic too. Skipping them leaves a hole in your topical coverage.
Before we plan a cluster, we ask three things:
→ What do buyers search after delivery?
→ Why do customers return this product?
→ What do support emails ask again and again?
Each answer is a page.
Those pages also bring new buyers. Plenty of people research how a product works before they buy it.
Comment "HOWTOUSE" and I'll send you the How-To-Use Content Brief Template.
#EcommerceSEO #ContentStrategy #SemanticSEO #CustomerExperience</t>
  </si>
  <si>
    <t xml:space="preserve">#EcommerceSEO #ContentStrategy #SemanticSEO #CustomerExperience</t>
  </si>
  <si>
    <t xml:space="preserve">Your content strategy ends at checkout. It shouldn't.
Ask:
→ What do buyers search after delivery?
→ Why do they return it?
→ What do support emails keep asking?
Each answer is a page. And a reason to trust you.
Bonus: plenty of buyers research how a product works before they buy.
Share this with your content team.
Comment "HOWTOUSE" for the How-To-Use Content Brief Template.
#ecommerceseo #contentstrategy #semanticseo #howto #customerexperience #seotips #shopifyseo #onlinestore #productcare #ecommercetips #reelsforbusiness #woocommerceseo</t>
  </si>
  <si>
    <t xml:space="preserve">#ecommerceseo #contentstrategy #semanticseo #howto #customerexperience #seotips #shopifyseo #onlinestore #productcare #ecommercetips #reelsforbusiness #woocommerceseo</t>
  </si>
  <si>
    <t xml:space="preserve">[0-2s] VO: We don't stop at the sale. | ON-SCREEN: WE DON'T STOP AT THE SALE. | VISUAL: "Order confirmed" screen, then kinetic text
[2-5s] VO: We write what comes after. | ON-SCREEN: WE WRITE WHAT COMES AFTER. | VISUAL: Parcel arriving at a door
[5-8s] VO: Most content plans stop here. | ON-SCREEN: MOST PLANS STOP HERE | VISUAL: Funnel graphic ending at checkout
[8-9s] VO: Buying guides. | ON-SCREEN: BUYING GUIDES. | VISUAL: One phrase
[9-10s] VO: Best-of lists. | ON-SCREEN: BEST-OF LISTS. | VISUAL: One phrase
[10-11s] VO: Comparisons. | ON-SCREEN: COMPARISONS. | VISUAL: One word
[11-14s] VO: But first, three things need to be clear. | ON-SCREEN: BUT FIRST, 3 QUESTIONS | VISUAL: Numbered list
[14-17s] VO: What do buyers search after delivery? | ON-SCREEN: 1. AFTER DELIVERY? | VISUAL: Search bar typing "how to clean..."
[17-20s] VO: Why do they send it back? | ON-SCREEN: 2. WHY RETURNS? | VISUAL: Return label printing
[20-23s] VO: What does support keep answering? | ON-SCREEN: 3. REPEAT QUESTIONS? | VISUAL: Inbox with the same email stacked
[23-26s] VO: Without those pages, your topic has a hole. | ON-SCREEN: NO AFTER-SALE CONTENT = A GAP | VISUAL: Topical map with missing section
[26-28s] VO: And competitors fill it. | ON-SCREEN: COMPETITORS FILL IT. | VISUAL: Competitor logo dropping into gap
[28-32s] VO: The sale is the middle, not the end. Comment howtouse. | ON-SCREEN: Comment "HOWTOUSE" | VISUAL: Logo + handle</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</si>
  <si>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stop at the sale. | ON-SCREEN: WE DON'T STOP AT THE SALE. | VISUAL: "Order confirmed" screen, then kinetic text
[2-5s] VO: We write what comes after. | ON-SCREEN: WE WRITE WHAT COMES AFTER. | VISUAL: Parcel arriving at a door
[5-8s] VO: Most content plans stop here. | ON-SCREEN: MOST PLANS STOP HERE | VISUAL: Funnel graphic ending at checkout
[8-9s] VO: Buying guides. | ON-SCREEN: BUYING GUIDES. | VISUAL: One phrase
[9-10s] VO: Best-of lists. | ON-SCREEN: BEST-OF LISTS. | VISUAL: One phrase
[10-11s] VO: Comparisons. | ON-SCREEN: COMPARISONS. | VISUAL: One word
[11-14s] VO: But first, three things need to be clear. | ON-SCREEN: BUT FIRST, 3 QUESTIONS | VISUAL: Numbered list
[14-17s] VO: What do buyers search after delivery? | ON-SCREEN: 1. AFTER DELIVERY? | VISUAL: Search bar typing "how to clean..."
[17-20s] VO: Why do they send it back? | ON-SCREEN: 2. WHY RETURNS? | VISUAL: Return label printing
[20-23s] VO: What does support keep answering? | ON-SCREEN: 3. REPEAT QUESTIONS? | VISUAL: Inbox with the same email stacked
[23-26s] VO: Without those pages, your topic has a hole. | ON-SCREEN: NO AFTER-SALE CONTENT = A GAP | VISUAL: Topical map with missing section
[26-28s] VO: And competitors fill it. | ON-SCREEN: COMPETITORS FILL IT. | VISUAL: Competitor logo dropping into gap
[28-32s] VO: The sale is the middle, not the end. Comment howtouse. | ON-SCREEN: Comment "HOWTOUSE" | VISUAL: Logo + handle
Final 3 s: dark/navy end card with Permanent SEO logo, 'SEO for E-commerce Brands' and 'Comment "HOWTOUSE"'. Burned-in captions. All text spelled exactly as written, sharp and legible on mobile; no extra words, no watermarks.</t>
  </si>
  <si>
    <t xml:space="preserve">HOWTOUSE</t>
  </si>
  <si>
    <t xml:space="preserve">How-To-Use Content Brief Template (Google Doc with 6 section prompts)</t>
  </si>
  <si>
    <t xml:space="preserve">We don't stop at the sale.
We write what comes after.
Ask:
→ What do buyers search after delivery?
→ Why do they return it?
→ What does support keep answering?
Each answer is a page. Skip them and competitors fill the gap. #EcommerceSEO</t>
  </si>
  <si>
    <t xml:space="preserve">How-To-Use Content for E-commerce: The Topic Gap After Checkout</t>
  </si>
  <si>
    <t xml:space="preserve">How-to-use content for e-commerce stores fills the topical gap most content plans leave after checkout. Three questions to find post-purchase pages worth writing. #Shorts</t>
  </si>
  <si>
    <t xml:space="preserve">how to use content ecommerce, post purchase content, ecommerce seo, product care guides, topical authority, semantic seo, content strategy, reduce returns, shopify seo, customer education</t>
  </si>
  <si>
    <t xml:space="preserve">Semantic SEO for collection pages: beyond 'shop our range'</t>
  </si>
  <si>
    <t xml:space="preserve">Your collection page says "Shop our range". That's all Google gets.</t>
  </si>
  <si>
    <t xml:space="preserve">collection page seo</t>
  </si>
  <si>
    <t xml:space="preserve">category page content, semantic seo collection page, shopify collection description, ecommerce category seo</t>
  </si>
  <si>
    <t xml:space="preserve">Collection pages usually drive a big share of a store's organic revenue. They're also usually the thinnest pages on the site.
A heading. "Shop our range." A grid of products.
That gives Google very little to understand what the page covers, or why it deserves to rank for a commercial query.
Here's how we write collection pages semantically:
→ Short intro above the grid (2–3 lines): what's in the collection and who it's for. Don't push products down the page
→ Name the key attributes buyers filter by: material, size, use case, price band
→ Link to sub-collections with descriptive anchors
→ Below the grid: a short buying section covering how to choose
→ FAQ from real customer questions (with FAQ content visible on the page)
→ Link to the pillar guide for deeper research
→ Unique title tag and H1 that match the main query
Rule: help the buyer choose. Don't write 800 words of keyword filler nobody reads.
Comment "COLLECTIONCOPY" and I'll send you the Collection Page Semantic Brief.
#EcommerceSEO #ShopifySEO #SemanticSEO #CategoryPages</t>
  </si>
  <si>
    <t xml:space="preserve">#EcommerceSEO #ShopifySEO #SemanticSEO #CategoryPages</t>
  </si>
  <si>
    <t xml:space="preserve">"Shop our range" isn't content.
Give your collection pages:
→ A short intro above the grid
→ The attributes buyers filter by
→ Links to sub-collections
→ A "how to choose" section below the grid
→ Real customer FAQs
→ A link to your buying guide
Save this for your next collection update.
Comment "COLLECTIONCOPY" for the Collection Page Semantic Brief.
#ecommerceseo #shopifyseo #semanticseo #collectionpage #categorypage #seotips #onlinestore #woocommerceseo #onpageseo #ecommercetips #seocopywriting #shopifystore</t>
  </si>
  <si>
    <t xml:space="preserve">#ecommerceseo #shopifyseo #semanticseo #collectionpage #categorypage #seotips #onlinestore #woocommerceseo #onpageseo #ecommercetips #seocopywriting #shopifystore</t>
  </si>
  <si>
    <t xml:space="preserve">Scene 1 [0-8s] VO: Right. New collection live. Heading, product grid... "Shop our range." Done. Hmm. | VISUAL: Shopify admin, owner types "Shop our range" in collection description and hits save
Scene 2 [8-18s] VO: Let's be honest. Your collection page is where buyers land ready to spend. But it tells Google almost nothing. | VISUAL: Crawler bot scanning the page, thought bubble shows "?"
Scene 3 [18-30s] VO: So a competitor with a clearer page outranks you. Even with fewer products. Even with higher prices. | VISUAL: SERP with competitor collection above, side-by-side page comparison
Scene 4 [30-36s] VO: It's time to change that. | VISUAL: Clean cut, brand frame
Scene 5 [36-46s] VO: At Permanent SEO, we write collection pages that help buyers choose, and help search engines understand what's on them. | VISUAL: Collection page rebuilding block by block
Scene 6 [46-58s] VO: Step one. A short intro above the grid. What's in it, who it's for. Two or three lines. | VISUAL: Intro text appearing above the product grid
Scene 7 [58-70s] VO: Step two. Name the attributes buyers filter by, and link to sub-collections. | VISUAL: Filter chips "Waterproof", "Wide fit", "Under £100" linking to sub-pages
Scene 8 [70-84s] VO: Step three. Below the grid, a short "how to choose" section and real customer FAQs. | VISUAL: Section and FAQ accordion sliding in beneath products
Scene 9 [84-94s] VO: Step four. Link up to your buying guide, and match the title and H1 to the main query. | VISUAL: Arrow to pillar guide, title tag highlight
Scene 10 [94-102s] VO: Result? [CLIENT RESULT: +X% collection page revenue in X months]. | VISUAL: Placeholder chart "[YOUR GSC DATA]"
Scene 11 [102-112s] VO: Comment COLLECTIONCOPY for the brief. Or book a free e-commerce SEO audit with Permanent SEO. | VISUAL: CTA card, logo, Muhammad Mehrooz Shafique name tag</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</si>
  <si>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Right. New collection live. Heading, product grid... "Shop our range." Done. Hmm. | VISUAL: Shopify admin, owner types "Shop our range" in collection description and hits save
Scene 2 [8-18s] VO: Let's be honest. Your collection page is where buyers land ready to spend. But it tells Google almost nothing. | VISUAL: Crawler bot scanning the page, thought bubble shows "?"
Scene 3 [18-30s] VO: So a competitor with a clearer page outranks you. Even with fewer products. Even with higher prices. | VISUAL: SERP with competitor collection above, side-by-side page comparison
Scene 4 [30-36s] VO: It's time to change that. | VISUAL: Clean cut, brand frame
Scene 5 [36-46s] VO: At Permanent SEO, we write collection pages that help buyers choose, and help search engines understand what's on them. | VISUAL: Collection page rebuilding block by block
Scene 6 [46-58s] VO: Step one. A short intro above the grid. What's in it, who it's for. Two or three lines. | VISUAL: Intro text appearing above the product grid
Scene 7 [58-70s] VO: Step two. Name the attributes buyers filter by, and link to sub-collections. | VISUAL: Filter chips "Waterproof", "Wide fit", "Under £100" linking to sub-pages
Scene 8 [70-84s] VO: Step three. Below the grid, a short "how to choose" section and real customer FAQs. | VISUAL: Section and FAQ accordion sliding in beneath products
Scene 9 [84-94s] VO: Step four. Link up to your buying guide, and match the title and H1 to the main query. | VISUAL: Arrow to pillar guide, title tag highlight
Scene 10 [94-102s] VO: Result? [CLIENT RESULT: +X% collection page revenue in X months]. | VISUAL: Placeholder chart "[YOUR GSC DATA]"
Scene 11 [102-112s] VO: Comment COLLECTIONCOPY for the brief. Or book a free e-commerce SEO audit with Permanent SEO. | VISUAL: CTA card, logo, Muhammad Mehrooz Shafique name tag
End card: Permanent SEO logo + 'Comment "COLLECTIONCOPY"'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</si>
  <si>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Right. New collection live. Heading, product grid... "Shop our range." Done. Hmm. | VISUAL: Shopify admin, owner types "Shop our range" in collection description and hits save
Scene 2 [8-18s] VO: Let's be honest. Your collection page is where buyers land ready to spend. But it tells Google almost nothing. | VISUAL: Crawler bot scanning the page, thought bubble shows "?"
Scene 3 [18-30s] VO: So a competitor with a clearer page outranks you. Even with fewer products. Even with higher prices. | VISUAL: SERP with competitor collection above, side-by-side page comparison
Scene 4 [30-36s] VO: It's time to change that. | VISUAL: Clean cut, brand frame
Scene 5 [36-46s] VO: At Permanent SEO, we write collection pages that help buyers choose, and help search engines understand what's on them. | VISUAL: Collection page rebuilding block by block
Scene 6 [46-58s] VO: Step one. A short intro above the grid. What's in it, who it's for. Two or three lines. | VISUAL: Intro text appearing above the product grid
Scene 7 [58-70s] VO: Step two. Name the attributes buyers filter by, and link to sub-collections. | VISUAL: Filter chips "Waterproof", "Wide fit", "Under £100" linking to sub-pages
Scene 8 [70-84s] VO: Step three. Below the grid, a short "how to choose" section and real customer FAQs. | VISUAL: Section and FAQ accordion sliding in beneath products
Scene 9 [84-94s] VO: Step four. Link up to your buying guide, and match the title and H1 to the main query. | VISUAL: Arrow to pillar guide, title tag highlight
Scene 10 [94-102s] VO: Result? [CLIENT RESULT: +X% collection page revenue in X months]. | VISUAL: Placeholder chart "[YOUR GSC DATA]"
Scene 11 [102-112s] VO: Comment COLLECTIONCOPY for the brief. Or book a free e-commerce SEO audit with Permanent SEO. | VISUAL: CTA card, logo, Muhammad Mehrooz Shafique name tag
Final 3 s: dark/navy end card with Permanent SEO logo, 'SEO for E-commerce Brands' and 'Comment "COLLECTIONCOPY"'. Burned-in captions. All text spelled exactly as written, sharp and legible on mobile; no extra words, no watermarks.</t>
  </si>
  <si>
    <t xml:space="preserve">COLLECTIONCOPY</t>
  </si>
  <si>
    <t xml:space="preserve">Collection Page Semantic Brief (Google Doc template with entity and FAQ prompts)</t>
  </si>
  <si>
    <t xml:space="preserve">"Shop our range" is not collection page content.
Add:
→ Short intro above the grid
→ Attributes buyers filter by
→ Sub-collection links
→ "How to choose" below the grid
→ Real FAQs
→ Link to your guide
Help buyers choose. Skip the filler. #ShopifySEO</t>
  </si>
  <si>
    <t xml:space="preserve">Collection Page SEO: Write Category Pages Google Understands</t>
  </si>
  <si>
    <t xml:space="preserve">Collection page SEO for Shopify and WooCommerce stores: how to replace thin "shop our range" copy with semantic content that helps buyers choose and helps Google understand the page. A 4-step method from Permanent SEO.</t>
  </si>
  <si>
    <t xml:space="preserve">collection page seo, category page seo, shopify collection seo, semantic seo, ecommerce seo, woocommerce category seo, collection description, on-page seo, shopify seo, permanent seo</t>
  </si>
  <si>
    <t xml:space="preserve">Free guide preview: Topical Authority Playbook for Online Stores</t>
  </si>
  <si>
    <t xml:space="preserve">Everything from February in one free playbook.</t>
  </si>
  <si>
    <t xml:space="preserve">topical authority for ecommerce</t>
  </si>
  <si>
    <t xml:space="preserve">semantic seo guide, ecommerce content playbook, topical authority strategy, semantic seo for online stores</t>
  </si>
  <si>
    <t xml:space="preserve">This month I shared how we build topical authority for e-commerce stores, one piece at a time.
A lot of you asked for it in one place. So here it is.
The Topical Authority Playbook for Online Stores:
1. What topical authority means for a store
2. Building your topical map: entities, attributes, intents
3. Source context: what to write and what to skip
4. Content clusters: guides, comparisons, "best X for Y", how-to-use
5. Information gain: using data only your store has
6. Internal linking: pillar → collection → product
7. Pruning and refreshing old content
8. E-E-A-T for stores: author pages and real testing
It's the same process we follow at Permanent SEO for clients. No theory for the sake of it. Every chapter ends with a checklist you can act on.
If you sell online and your content isn't moving revenue, start with chapter 2.
Comment "STOREAUTHORITY" and I'll send you the Topical Authority Playbook for Online Stores.
#TopicalAuthority #SemanticSEO #EcommerceSEO #ShopifySEO</t>
  </si>
  <si>
    <t xml:space="preserve">#TopicalAuthority #SemanticSEO #EcommerceSEO #ShopifySEO</t>
  </si>
  <si>
    <t xml:space="preserve">All of February's semantic SEO lessons in one free playbook.
Inside:
1. Topical authority for stores
2. Building a topical map
3. Source context
4. Content clusters
5. Information gain
6. Internal linking
7. Pruning and refreshing
8. E-E-A-T for stores
Every chapter ends with a checklist you can act on today.
Save this post so you don't lose it.
Comment "STOREAUTHORITY" for the Topical Authority Playbook.
#topicalauthority #semanticseo #ecommerceseo #shopifyseo #seoguide #seotips #contentstrategy #onlinestore #woocommerceseo #ecommercegrowth #freeguide #searchengineoptimization</t>
  </si>
  <si>
    <t xml:space="preserve">#topicalauthority #semanticseo #ecommerceseo #shopifyseo #seoguide #seotips #contentstrategy #onlinestore #woocommerceseo #ecommercegrowth #freeguide #searchengineoptimization</t>
  </si>
  <si>
    <t xml:space="preserve">Single image, 1080x1350, "guide preview" style.
Top: PDF cover mock-up tilted slightly, cover title "THE TOPICAL AUTHORITY PLAYBOOK", subtitle "For Online Stores", author line "Muhammad Mehrooz Shafique | Co-Founder, Permanent SEO"
Below cover heading: 8 CHAPTERS
Numbered list in 2 columns (brand-colour number circles):
01 What topical authority means for a store
02 Building your topical map
03 Source context: write or skip
04 Content clusters that sell
05 Information gain
06 Pillar → collection → product linking
07 Pruning and refreshing
08 E-E-A-T for stores
Tag beside list: "Checklist at the end of every chapter"
Bottom full-width banner (contrasting colour, large text): Comment "STOREAUTHORITY" for free access</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</si>
  <si>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"Everything from February in one free playbook."
SUBHEAD: "Free guide preview: Topical Authority Playbook for Online Stores"
MAIN VISUAL: the layout described below containing exactly: 
Single image, 1080x1350, "guide preview" style.
Top: PDF cover mock-up tilted slightly, cover title "THE TOPICAL AUTHORITY PLAYBOOK", subtitle "For Online Stores", author line "Muhammad Mehrooz Shafique | Co-Founder, Permanent SEO"
Below cover heading: 8 CHAPTERS
Numbered list in 2 columns (brand-colour number circles):
01 What topical authority means for a store
02 Building your topical map
03 Source context: write or skip
04 Content clusters that sell
05 Information gain
06 Pillar → collection → product linking
07 Pruning and refreshing
08 E-E-A-T for stores
Tag beside list: "Checklist at the end of every chapter"
Bottom full-width banner (contrasting colour, large text): Comment "STOREAUTHORITY" for free access
CTA BANNER (bottom, navy rounded box, white text, keyword in blue): Comment "STOREAUTHORITY" for Topical Authority Playbook for Online Stores (PDF, 8 chapters)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</si>
  <si>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"Everything from February in one free playbook."
BODY (numbered points / simple visual): the 3–5 key points from this brief, shortened to max 8 words each:
Single image, 1080x1350, "guide preview" style.
Top: PDF cover mock-up tilted slightly, cover title "THE TOPICAL AUTHORITY PLAYBOOK", subtitle "For Online Stores", author line "Muhammad Mehrooz Shafique | Co-Founder, Permanent SEO"
Below cover heading: 8 CHAPTERS
Numbered list in 2 columns (brand-colour number circles):
01 What topical authority means for a store
02 Building your topical map
03 Source context: write or skip
04 Content clusters that sell
05 Information gain
06 Pillar → collection → product linking
07 Pruning and refreshing
08 E-E-A-T for stores
Tag beside list: "Checklist at the end of every chapter"
Bottom full-width banner (contrasting colour, large text): Comment "STOREAUTHORITY" for free access
BOTTOM BAR: Comment "STOREAUTHORITY" for Topical Authority Playbook for Online Stores (PDF, 8 chapters)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</si>
  <si>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STOREAUTHORITY</t>
  </si>
  <si>
    <t xml:space="preserve">Topical Authority Playbook for Online Stores (PDF, 8 chapters)</t>
  </si>
  <si>
    <t xml:space="preserve">All of February's semantic SEO for e-commerce in one free playbook:
Topical maps, source context, clusters, information gain, internal linking, pruning, E-E-A-T for stores.
8 chapters. Checklist in each.
Reply "STOREAUTHORITY" and I'll send it. #TopicalAuthority #SemanticSEO</t>
  </si>
  <si>
    <t xml:space="preserve">Mar 2027</t>
  </si>
  <si>
    <t xml:space="preserve">AI Search / GEO for E-commerce (ChatGPT, AI Overviews, Perplexity)</t>
  </si>
  <si>
    <t xml:space="preserve">How AI assistants shortlist products to recommend</t>
  </si>
  <si>
    <t xml:space="preserve">ChatGPT doesn't pick products at random. Here's the shortlist logic.</t>
  </si>
  <si>
    <t xml:space="preserve">how ChatGPT recommends products</t>
  </si>
  <si>
    <t xml:space="preserve">AI product recommendations, generative engine optimization ecommerce, AI shopping visibility, get products recommended by AI, GEO for online stores</t>
  </si>
  <si>
    <t xml:space="preserve">ChatGPT doesn't pick products at random. Here's the shortlist logic.
When a shopper asks "best running shoes for flat feet under £120", the assistant has to build a shortlist fast.
From the buyer prompts we test for clients, the brands that make it share five traits:
→ Clear fit: the page says exactly who the product is for
→ Hard facts: price, sizes, materials, stock, shipping are easy to read
→ Outside proof: reviews, Reddit threads, YouTube tests, editorial lists mention them
→ Consistent identity: same brand name, description and links everywhere
→ Crawlable pages: no key info hidden behind scripts or tabs
None of this is a trick. It's the same work that makes a product page convert, done so a machine can read it too.
The carousel breaks each trait into checks you can run on your own store this week.
Takeaway: AI assistants recommend what they can understand and verify. Make both easy.
Comment "SHORTLIST" and I'll send you the AI Product Shortlist Readiness Checklist (Google Sheet, 25 checks).
#GEO #AISearch #EcommerceSEO #ShopifySEO</t>
  </si>
  <si>
    <t xml:space="preserve">#GEO #AISearch #EcommerceSEO #ShopifySEO</t>
  </si>
  <si>
    <t xml:space="preserve">ChatGPT doesn't pick products at random.
It shortlists brands that are:
→ Clear about who the product is for
→ Easy to read: price, stock, sizes, shipping
→ Mentioned by others: reviews, Reddit, YouTube
→ Consistent across the web
→ Crawlable without scripts
Save this before you rewrite your next product page.
Comment "SHORTLIST" for the AI Product Shortlist Readiness Checklist (Google Sheet, 25 checks).
#ecommerceseo #aisearch #geo #shopifyseo #chatgpt #seotips #ecommercegrowth #onlinestore #productpage #googleaioverviews #perplexityai #shopifystore</t>
  </si>
  <si>
    <t xml:space="preserve">#ecommerceseo #aisearch #geo #shopifyseo #chatgpt #seotips #ecommercegrowth #onlinestore #productpage #googleaioverviews #perplexityai #shopifystore</t>
  </si>
  <si>
    <t xml:space="preserve">Slide 1: ChatGPT doesn't pick products at random | The 5 traits of products AI assistants shortlist | swipe →
Slide 2: The prompt is a brief | "Best running shoes for flat feet under £120" = use case + constraint + budget. AI matches pages that answer all three.
Slide 3: Trait 1: Clear fit | State who it's for, what problem it solves and who it's NOT for, in the first 2 lines of the product page.
Slide 4: Trait 2: Hard facts | Price, sizes, materials, stock, delivery time, returns. In plain HTML text, Product schema and your Merchant Center feed.
Slide 5: Trait 3: Outside proof | Reviews, Reddit threads, YouTube tests, editorial 'best of' lists. AI trusts what others say about you.
Slide 6: Trait 4: Consistent identity | Same brand name, one-line description, logo and links on your site, socials, marketplaces and directories.
Slide 7: Trait 5: Crawlable pages | Key details visible in the HTML. Not locked in JS tabs, images or review widgets that never load for bots.
Slide 8: Quick test | Ask ChatGPT, Perplexity and Gemini 10 buyer prompts for your category. Note: mentioned? described correctly? linked?
Slide 9: What to fix first | The trait where you score lowest. Usually outside proof or hard facts.
Slide 10: Want the 25-point checklist? | Comment SHORTLIST and I'll send it | Follow Muhammad Mehrooz Shafique for e-commerce GEO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</si>
  <si>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ChatGPT doesn't pick products at random | The 5 traits of products AI assistants shortlist | swipe →
Slide 2: The prompt is a brief | "Best running shoes for flat feet under £120" = use case + constraint + budget. AI matches pages that answer all three.
Slide 3: Trait 1: Clear fit | State who it's for, what problem it solves and who it's NOT for, in the first 2 lines of the product page.
Slide 4: Trait 2: Hard facts | Price, sizes, materials, stock, delivery time, returns. In plain HTML text, Product schema and your Merchant Center feed.
Slide 5: Trait 3: Outside proof | Reviews, Reddit threads, YouTube tests, editorial 'best of' lists. AI trusts what others say about you.
Slide 6: Trait 4: Consistent identity | Same brand name, one-line description, logo and links on your site, socials, marketplaces and directories.
Slide 7: Trait 5: Crawlable pages | Key details visible in the HTML. Not locked in JS tabs, images or review widgets that never load for bots.
Slide 8: Quick test | Ask ChatGPT, Perplexity and Gemini 10 buyer prompts for your category. Note: mentioned? described correctly? linked?
Slide 9: What to fix first | The trait where you score lowest. Usually outside proof or hard facts.
Slide 10: Want the 25-point checklist? | Comment SHORTLIST and I'll send it | Follow Muhammad Mehrooz Shafique for e-commerce GEO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</si>
  <si>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ChatGPT doesn't pick products at random | The 5 traits of products AI assistants shortlist | swipe →
Slide 2: The prompt is a brief | "Best running shoes for flat feet under £120" = use case + constraint + budget. AI matches pages that answer all three.
Slide 3: Trait 1: Clear fit | State who it's for, what problem it solves and who it's NOT for, in the first 2 lines of the product page.
Slide 4: Trait 2: Hard facts | Price, sizes, materials, stock, delivery time, returns. In plain HTML text, Product schema and your Merchant Center feed.
Slide 5: Trait 3: Outside proof | Reviews, Reddit threads, YouTube tests, editorial 'best of' lists. AI trusts what others say about you.
Slide 6: Trait 4: Consistent identity | Same brand name, one-line description, logo and links on your site, socials, marketplaces and directories.
Slide 7: Trait 5: Crawlable pages | Key details visible in the HTML. Not locked in JS tabs, images or review widgets that never load for bots.
Slide 8: Quick test | Ask ChatGPT, Perplexity and Gemini 10 buyer prompts for your category. Note: mentioned? described correctly? linked?
Slide 9: What to fix first | The trait where you score lowest. Usually outside proof or hard facts.
Slide 10: Want the 25-point checklist? | Comment SHORTLIST and I'll send it | Follow Muhammad Mehrooz Shafique for e-commerce GEO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</si>
  <si>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SHORTLIST</t>
  </si>
  <si>
    <t xml:space="preserve">AI Product Shortlist Readiness Checklist (Google Sheet, 25 checks)</t>
  </si>
  <si>
    <t xml:space="preserve">ChatGPT doesn't pick products at random.
After testing a lot of buyer prompts for e-commerce clients, the products that get shortlisted share 5 traits. Thread #GEO
---
1. Clear fit
The page says who the product is for, what problem it solves and who it's not for. In the first two lines. Not buried in paragraph six.
---
2. Hard facts
Price, sizes, materials, stock, delivery, returns. Readable in plain HTML, in Product schema and in your Merchant Center feed. AI can't recommend what it can't verify.
---
3. Outside proof
Reviews, Reddit threads, YouTube tests, editorial best-of lists. Assistants lean on what other people say about you, not only what you say.
---
4. Consistent identity
Same brand name, description, logo and links everywhere. Mixed signals make it harder for a model to know which brand you are.
---
5. Crawlable pages
If key details sit inside JS tabs or widgets that never load for bots, they don't exist for AI.
Fix your weakest trait first. #EcommerceSEO</t>
  </si>
  <si>
    <t xml:space="preserve">What I've noticed about which stores get recommended by ChatGPT and Perplexity</t>
  </si>
  <si>
    <t xml:space="preserve">I've been running the same buyer-style prompts through ChatGPT, Perplexity and Gemini for a range of online stores (things like "best X for Y under Z"). No magic formula, but a few patterns keep showing up in the brands that get named.
1. The product page states who it's for and the main use case right at the top. Vague lifestyle copy rarely gets quoted.
2. Price, sizes, materials, stock and delivery are in plain text on the page, not only inside images or tabs that load with JavaScript.
3. The brand is talked about elsewhere: review sites, Reddit threads, YouTube comparisons, gift guides.
4. The brand name and description match across the site, social profiles and marketplaces.
5. Product structured data and the Google Merchant Center feed are complete and match the page.
The stores that don't show up usually fail on number 3. Their own site is fine, but nobody else mentions them.
Curious what others are seeing. Has anyone tracked a change in AI mentions after working on reviews or third-party coverage?</t>
  </si>
  <si>
    <t xml:space="preserve">Being cited vs being ranked: what changes for store owners</t>
  </si>
  <si>
    <t xml:space="preserve">Ranking gets you a link. Being cited gets you the recommendation.</t>
  </si>
  <si>
    <t xml:space="preserve">AI citations vs rankings</t>
  </si>
  <si>
    <t xml:space="preserve">cited in AI Overviews, AI search visibility, GEO vs SEO, ChatGPT citations ecommerce</t>
  </si>
  <si>
    <t xml:space="preserve">Ranking gets you a link. Being cited gets you the recommendation.
Store owners keep asking me one thing: "We rank on page one, so why doesn't ChatGPT mention us?"
Because ranking and citation are different jobs.
Ranking = Google ordering 10 links for a keyword.
Citation = an AI answer quoting or naming your brand as a source or option.
What drives each one overlaps, but not fully:
→ Rankings lean on relevance, links and page experience
→ Citations lean on clear, quotable answers, facts that match across sources, and mentions on sites you don't own
You can rank #3 and never be cited. You can be cited from a Reddit thread when your own page ranks nowhere.
The image breaks the two side by side so you can see where your store is weak.
Takeaway: keep doing SEO. Then add a citation layer on top. They work together.
Comment "CITATIONS" and I'll send you the Cited vs Ranked Gap Audit Template (Google Sheet).
#GEO #AISearch #EcommerceSEO #SEO</t>
  </si>
  <si>
    <t xml:space="preserve">#GEO #AISearch #EcommerceSEO #SEO</t>
  </si>
  <si>
    <t xml:space="preserve">Ranking ≠ being cited.
Ranking = Google orders 10 links.
Citation = AI names your brand in the answer.
Rankings lean on relevance, links, page experience.
Citations lean on quotable answers, consistent facts and mentions on sites you don't own.
You need both. Save this for your next SEO review.
Comment "CITATIONS" for the Cited vs Ranked Gap Audit Template (Google Sheet).
#ecommerceseo #aisearch #geo #seo #chatgpt #googleaioverviews #aimode #shopifyseo #seostrategy #onlinestore #ecommercetips #contentmarketing</t>
  </si>
  <si>
    <t xml:space="preserve">#ecommerceseo #aisearch #geo #seo #chatgpt #googleaioverviews #aimode #shopifyseo #seostrategy #onlinestore #ecommercetips #contentmarketing</t>
  </si>
  <si>
    <t xml:space="preserve">Single image, 1080x1350 (LinkedIn + Instagram). Dark navy background, white text, accent teal for 'Cited' column, muted grey for 'Ranked' column.
Headline (top, bold condensed): RANKED vs CITED
Sub-headline: Two jobs. Most stores only do one.
Comparison table, 3 columns (Factor | Ranked on Google | Cited by AI), 6 rows:
Row 1: What you get | A blue link in position 1–10 | Your brand named inside the answer
Row 2: Main unit | Keyword | Prompt / question
Row 3: Leans on | Relevance, links, page experience | Quotable answers, consistent facts, outside mentions
Row 4: Sources used | Your page | Your page + Reddit, YouTube, reviews, editorial lists
Row 5: How to measure | Search Console positions | Prompt tests + AI referral traffic in GA4
Row 6: First fix | Content + technical SEO | Answer-first copy + brand mentions + clean product data
Bottom strip: 'You can rank #3 and never be cited.' in teal.
Footer: Muhammad Mehrooz Shafique | Co-Founder, Permanent SEO | Comment 'CITATIONS' for the gap audit template.</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</si>
  <si>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"Ranking gets you a link. Being cited gets you the recommendation."
SUBHEAD: "Being cited vs being ranked: what changes for store owners"
MAIN VISUAL: the layout described below containing exactly: 
Single image, 1080x1350 (LinkedIn + Instagram). Dark navy background, white text, accent teal for 'Cited' column, muted grey for 'Ranked' column.
Headline (top, bold condensed): RANKED vs CITED
Sub-headline: Two jobs. Most stores only do one.
Comparison table, 3 columns (Factor | Ranked on Google | Cited by AI), 6 rows:
Row 1: What you get | A blue link in position 1–10 | Your brand named inside the answer
Row 2: Main unit | Keyword | Prompt / question
Row 3: Leans on | Relevance, links, page experience | Quotable answers, consistent facts, outside mentions
Row 4: Sources used | Your page | Your page + Reddit, YouTube, reviews, editorial lists
Row 5: How to measure | Search Console positions | Prompt tests + AI referral traffic in GA4
Row 6: First fix | Content + technical SEO | Answer-first copy + brand mentions + clean product data
Bottom strip: 'You can rank #3 and never be cited.' in teal.
Footer: Muhammad Mehrooz Shafique | Co-Founder, Permanent SEO | Comment 'CITATIONS' for the gap audit template.
CTA BANNER (bottom, navy rounded box, white text, keyword in blue): Comment "CITATIONS" for Cited vs Ranked Gap Audit Template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</si>
  <si>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"Ranking gets you a link. Being cited gets you the recommendation."
BODY (numbered points / simple visual): the 3–5 key points from this brief, shortened to max 8 words each:
Single image, 1080x1350 (LinkedIn + Instagram). Dark navy background, white text, accent teal for 'Cited' column, muted grey for 'Ranked' column.
Headline (top, bold condensed): RANKED vs CITED
Sub-headline: Two jobs. Most stores only do one.
Comparison table, 3 columns (Factor | Ranked on Google | Cited by AI), 6 rows:
Row 1: What you get | A blue link in position 1–10 | Your brand named inside the answer
Row 2: Main unit | Keyword | Prompt / question
Row 3: Leans on | Relevance, links, page experience | Quotable answers, consistent facts, outside mentions
Row 4: Sources used | Your page | Your page + Reddit, YouTube, reviews, editorial lists
Row 5: How to measure | Search Console positions | Prompt tests + AI referral traffic in GA4
Row 6: First fix | Content + technical SEO | Answer-first copy + brand mentions + clean product data
Bottom strip: 'You can rank #3 and never be cited.' in teal.
Footer: Muhammad Mehrooz Shafique | Co-Founder, Permanent SEO | Comment 'CITATIONS' for the gap audit template.
BOTTOM BAR: Comment "CITATIONS" for Cited vs Ranked Gap Audit Template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</si>
  <si>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CITATIONS</t>
  </si>
  <si>
    <t xml:space="preserve">Cited vs Ranked Gap Audit Template (Google Sheet)</t>
  </si>
  <si>
    <t xml:space="preserve">Ranking gets you a link. Being cited gets you the recommendation.
Rankings lean on relevance and links. AI citations lean on quotable answers, consistent facts and mentions on sites you don't own.
You need both. #GEO #EcommerceSEO</t>
  </si>
  <si>
    <t xml:space="preserve">llms.txt won't get your store into ChatGPT (yet)</t>
  </si>
  <si>
    <t xml:space="preserve">We don't start with llms.txt. We start with readable pages.</t>
  </si>
  <si>
    <t xml:space="preserve">llms.txt for ecommerce</t>
  </si>
  <si>
    <t xml:space="preserve">what is llms.txt, llms.txt Shopify, AI crawler files, does llms.txt work</t>
  </si>
  <si>
    <t xml:space="preserve">We don't start with llms.txt. We start with readable pages.
Every week someone asks if they should add llms.txt to their Shopify store.
Honest answer:
→ llms.txt is a proposed standard from 2024. A markdown file that points AI tools to your key pages.
→ Adoption by the big AI platforms is unclear. Google has said it doesn't use it for Search.
→ It costs little to add. It won't fix anything on its own.
What actually decides whether AI understands your store:
→ Can crawlers fetch your pages?
→ Is the key product info in plain HTML?
→ Do other sites back up what you claim?
Add llms.txt if you like. Just do it after the basics, not instead of them.
Takeaway: a file can't explain a store that its pages don't.
Comment "LLMSTXT" and I'll send you the llms.txt Starter Template for Shopify + Honest FAQ (PDF).
#GEO #AISearch #ShopifySEO #TechnicalSEO</t>
  </si>
  <si>
    <t xml:space="preserve">#GEO #AISearch #ShopifySEO #TechnicalSEO</t>
  </si>
  <si>
    <t xml:space="preserve">Should you add llms.txt to your store?
→ It's a proposed standard, not an official one
→ Adoption by AI platforms is unclear
→ Google says it doesn't use it for Search
→ Cheap to add, fixes nothing alone
Readable pages and outside proof come first.
Share this with the person who keeps asking about it.
Comment "LLMSTXT" for the llms.txt Starter Template for Shopify + Honest FAQ (PDF).
#llmstxt #aisearch #geo #ecommerceseo #shopifyseo #technicalseo #chatgpt #seotips #seomyths #onlinestore #shopifytips #searchengineoptimization</t>
  </si>
  <si>
    <t xml:space="preserve">#llmstxt #aisearch #geo #ecommerceseo #shopifyseo #technicalseo #chatgpt #seotips #seomyths #onlinestore #shopifytips #searchengineoptimization</t>
  </si>
  <si>
    <t xml:space="preserve">[0-2s] VO: We don't start with llms.txt. | ON-SCREEN: We don't start with llms.txt. | VISUAL: Black screen, white text slams in, file icon greys out
[2-5s] VO: We start with readable pages. | ON-SCREEN: We start with readable pages. | VISUAL: Product page wireframe fades in, text lines highlight
[5-7s] VO: Most AI search advice begins here. | ON-SCREEN: Most AI search advice begins here. | VISUAL: Scroll of tweets/blog headlines blurred
[7-8s] VO: New files. | ON-SCREEN: New files. | VISUAL: Single word, centre, cut
[8-9s] VO: New tags. | ON-SCREEN: New tags. | VISUAL: Single word, centre, cut
[9-10s] VO: New hacks. | ON-SCREEN: New hacks. | VISUAL: Single word, centre, cut
[10-13s] VO: But llms.txt is only a proposed standard. | ON-SCREEN: PROPOSED standard | VISUAL: Stamp 'PROPOSED' on a file icon
[13-17s] VO: Adoption is unclear. Google says it doesn't use it. | ON-SCREEN: Adoption: unclear | VISUAL: Question mark pulses next to AI logos (generic icons)
[17-20s] VO: So three things come first. | ON-SCREEN: 3 things first | VISUAL: Counter 1-2-3 builds
[20-22s] VO: Can crawlers fetch your pages? | ON-SCREEN: 1. Crawlable? | VISUAL: Bot icon reaching a page, green tick
[22-25s] VO: Is product info in plain HTML? | ON-SCREEN: 2. Plain HTML? | VISUAL: Price, size, stock lines highlight
[25-27s] VO: Do other sites back you up? | ON-SCREEN: 3. Outside proof? | VISUAL: Review stars, Reddit-style thread, video thumbnail
[27-30s] VO: Without those, a file changes nothing. | ON-SCREEN: A file changes nothing. | VISUAL: File icon shrinks to a dot
[30-32s] VO: Clarity gets you cited. | ON-SCREEN: Clarity gets you cited. | Comment LLMSTXT | VISUAL: Brand end card, Muhammad Mehrooz Shafique,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</si>
  <si>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start with llms.txt. | ON-SCREEN: We don't start with llms.txt. | VISUAL: Black screen, white text slams in, file icon greys out
[2-5s] VO: We start with readable pages. | ON-SCREEN: We start with readable pages. | VISUAL: Product page wireframe fades in, text lines highlight
[5-7s] VO: Most AI search advice begins here. | ON-SCREEN: Most AI search advice begins here. | VISUAL: Scroll of tweets/blog headlines blurred
[7-8s] VO: New files. | ON-SCREEN: New files. | VISUAL: Single word, centre, cut
[8-9s] VO: New tags. | ON-SCREEN: New tags. | VISUAL: Single word, centre, cut
[9-10s] VO: New hacks. | ON-SCREEN: New hacks. | VISUAL: Single word, centre, cut
[10-13s] VO: But llms.txt is only a proposed standard. | ON-SCREEN: PROPOSED standard | VISUAL: Stamp 'PROPOSED' on a file icon
[13-17s] VO: Adoption is unclear. Google says it doesn't use it. | ON-SCREEN: Adoption: unclear | VISUAL: Question mark pulses next to AI logos (generic icons)
[17-20s] VO: So three things come first. | ON-SCREEN: 3 things first | VISUAL: Counter 1-2-3 builds
[20-22s] VO: Can crawlers fetch your pages? | ON-SCREEN: 1. Crawlable? | VISUAL: Bot icon reaching a page, green tick
[22-25s] VO: Is product info in plain HTML? | ON-SCREEN: 2. Plain HTML? | VISUAL: Price, size, stock lines highlight
[25-27s] VO: Do other sites back you up? | ON-SCREEN: 3. Outside proof? | VISUAL: Review stars, Reddit-style thread, video thumbnail
[27-30s] VO: Without those, a file changes nothing. | ON-SCREEN: A file changes nothing. | VISUAL: File icon shrinks to a dot
[30-32s] VO: Clarity gets you cited. | ON-SCREEN: Clarity gets you cited. | Comment LLMSTXT | VISUAL: Brand end card, Muhammad Mehrooz Shafique, Permanent SEO
Final 3 s: dark/navy end card with Permanent SEO logo, 'SEO for E-commerce Brands' and 'Comment "LLMSTXT"'. Burned-in captions. All text spelled exactly as written, sharp and legible on mobile; no extra words, no watermarks.</t>
  </si>
  <si>
    <t xml:space="preserve">LLMSTXT</t>
  </si>
  <si>
    <t xml:space="preserve">llms.txt Starter Template for Shopify + Honest FAQ (PDF)</t>
  </si>
  <si>
    <t xml:space="preserve">llms.txt is a proposed standard. Adoption by AI platforms is unclear, and Google says it doesn't use it for Search.
Add it if you want. But crawlable pages, plain-HTML product facts and outside proof come first. #GEO #ShopifySEO</t>
  </si>
  <si>
    <t xml:space="preserve">llms.txt for Ecommerce: Does It Get You Into ChatGPT?</t>
  </si>
  <si>
    <t xml:space="preserve">Is llms.txt worth adding to your Shopify or WooCommerce store? An honest 30-second take on what llms.txt is, why its adoption is unclear, and what matters more for AI search visibility. #Shorts</t>
  </si>
  <si>
    <t xml:space="preserve">llms.txt, llms.txt ecommerce, llms.txt shopify, AI search, GEO, generative engine optimization, ChatGPT SEO, ecommerce SEO, technical SEO, AI crawlers</t>
  </si>
  <si>
    <t xml:space="preserve">Prompt-testing your brand visibility in AI assistants</t>
  </si>
  <si>
    <t xml:space="preserve">You've never checked what ChatGPT says about your store. Let's fix that.</t>
  </si>
  <si>
    <t xml:space="preserve">check brand visibility in ChatGPT</t>
  </si>
  <si>
    <t xml:space="preserve">AI visibility audit, prompt testing for brands, track mentions in ChatGPT, Perplexity brand visibility, AI share of voice</t>
  </si>
  <si>
    <t xml:space="preserve">You've never checked what ChatGPT says about your store. Let's fix that.
Most e-commerce brands track rankings daily. Almost none track what AI assistants say when a buyer asks for a recommendation.
Here's the simple prompt test we run at Permanent SEO:
→ Write 30–50 real buyer prompts: "best", "vs", "for [use case]", "under [price]"
→ Run them in ChatGPT, Perplexity, Gemini and Google AI Mode
→ Log three things per answer: mentioned? described correctly? which sources cited?
→ Repeat monthly with the same prompts
Answers vary between runs, so look for patterns, not one screenshot.
The sources column is the gold. It shows which review sites, Reddit threads and lists the AI trusts in your category. That's your outreach list.
The video walks through the full process in under two minutes.
Takeaway: you can't improve AI visibility you never measure.
Comment "PROMPTGRID" and I'll send you the AI Visibility Prompt Test Sheet (50 buyer prompts + tracking tabs).
#GEO #AISearch #EcommerceSEO #BrandVisibility</t>
  </si>
  <si>
    <t xml:space="preserve">#GEO #AISearch #EcommerceSEO #BrandVisibility</t>
  </si>
  <si>
    <t xml:space="preserve">What does ChatGPT say about your store?
Run this monthly:
→ 30–50 real buyer prompts
→ ChatGPT, Perplexity, Gemini, AI Mode
→ Log: mentioned? accurate? sources cited?
→ Same prompts every month
The sources list = your outreach list.
Save this and run it on Monday.
Comment "PROMPTGRID" for the AI Visibility Prompt Test Sheet (50 buyer prompts + tracking tabs).
#aisearch #geo #ecommerceseo #chatgpt #perplexity #gemini #aimode #brandvisibility #shopifyseo #seotips #ecommercemarketing #onlinebusiness</t>
  </si>
  <si>
    <t xml:space="preserve">#aisearch #geo #ecommerceseo #chatgpt #perplexity #gemini #aimode #brandvisibility #shopifyseo #seotips #ecommercemarketing #onlinebusiness</t>
  </si>
  <si>
    <t xml:space="preserve">Scene 1 [0-8s] VO: Okay, quick check. "Best vegan protein powder UK." Hmm. Three brands. Not us. Again. Ugh. | VISUAL: Founder at desk typing into a generic AI chat window, three competitor placeholders appear, frustrated sigh
Scene 2 [8-20s] VO: Let's be honest. Your problem isn't your product. It's that when buyers ask AI for a recommendation, your brand isn't part of the answer. | VISUAL: Title card: 'Invisible in AI answers'
Scene 3 [20-31s] VO: And you'd never know. Rankings get tracked every day. AI answers get tracked never. Meanwhile your competitors keep getting named. | VISUAL: Split screen: busy rank tracker vs empty 'AI mentions' dashboard
Scene 4 [31-40s] VO: It's time to measure it. At Permanent SEO we run a simple prompt test for every e-commerce client. | VISUAL: Permanent SEO logo, clean transition to step layout
Scene 5 [40-49s] VO: Step one. Write thirty to fifty real buyer prompts. Best, versus, for a use case, under a price. | VISUAL: Prompt list animates in, tags: BEST / VS / FOR / UNDER
Scene 6 [49-56s] VO: Step two. Run them in ChatGPT, Perplexity, Gemini and Google AI Mode. | VISUAL: Four generic assistant panels light up in sequence
Scene 7 [56-64s] VO: Step three. Log three things. Were you mentioned? Were you described correctly? Which sources were cited? | VISUAL: Spreadsheet columns fill: Mentioned / Accurate / Sources
Scene 8 [64-73s] VO: Step four. Repeat monthly with the same prompts. Answers vary, so you track patterns, not one screenshot. | VISUAL: Line chart placeholder labelled [YOUR TREND DATA]
Scene 9 [73-80s] VO: That sources column becomes your outreach list. The review sites and threads AI already trusts. | VISUAL: Sources column highlighted, arrows to 'Outreach list'
Scene 10 [80-86s] VO: [CLIENT RESULT: mentioned in X of Y prompts after Z months]. | VISUAL: Proof placeholder card
Scene 11 [86-95s] VO: Comment PROMPTGRID for the fifty-prompt test sheet. Or book a free e-commerce SEO audit with Permanent SEO. | VISUAL: End card with keyword, name, Permanent SEO</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</si>
  <si>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Okay, quick check. "Best vegan protein powder UK." Hmm. Three brands. Not us. Again. Ugh. | VISUAL: Founder at desk typing into a generic AI chat window, three competitor placeholders appear, frustrated sigh
Scene 2 [8-20s] VO: Let's be honest. Your problem isn't your product. It's that when buyers ask AI for a recommendation, your brand isn't part of the answer. | VISUAL: Title card: 'Invisible in AI answers'
Scene 3 [20-31s] VO: And you'd never know. Rankings get tracked every day. AI answers get tracked never. Meanwhile your competitors keep getting named. | VISUAL: Split screen: busy rank tracker vs empty 'AI mentions' dashboard
Scene 4 [31-40s] VO: It's time to measure it. At Permanent SEO we run a simple prompt test for every e-commerce client. | VISUAL: Permanent SEO logo, clean transition to step layout
Scene 5 [40-49s] VO: Step one. Write thirty to fifty real buyer prompts. Best, versus, for a use case, under a price. | VISUAL: Prompt list animates in, tags: BEST / VS / FOR / UNDER
Scene 6 [49-56s] VO: Step two. Run them in ChatGPT, Perplexity, Gemini and Google AI Mode. | VISUAL: Four generic assistant panels light up in sequence
Scene 7 [56-64s] VO: Step three. Log three things. Were you mentioned? Were you described correctly? Which sources were cited? | VISUAL: Spreadsheet columns fill: Mentioned / Accurate / Sources
Scene 8 [64-73s] VO: Step four. Repeat monthly with the same prompts. Answers vary, so you track patterns, not one screenshot. | VISUAL: Line chart placeholder labelled [YOUR TREND DATA]
Scene 9 [73-80s] VO: That sources column becomes your outreach list. The review sites and threads AI already trusts. | VISUAL: Sources column highlighted, arrows to 'Outreach list'
Scene 10 [80-86s] VO: [CLIENT RESULT: mentioned in X of Y prompts after Z months]. | VISUAL: Proof placeholder card
Scene 11 [86-95s] VO: Comment PROMPTGRID for the fifty-prompt test sheet. Or book a free e-commerce SEO audit with Permanent SEO. | VISUAL: End card with keyword, name, Permanent SEO
End card: Permanent SEO logo + 'Comment "PROMPTGRID"'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</si>
  <si>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Okay, quick check. "Best vegan protein powder UK." Hmm. Three brands. Not us. Again. Ugh. | VISUAL: Founder at desk typing into a generic AI chat window, three competitor placeholders appear, frustrated sigh
Scene 2 [8-20s] VO: Let's be honest. Your problem isn't your product. It's that when buyers ask AI for a recommendation, your brand isn't part of the answer. | VISUAL: Title card: 'Invisible in AI answers'
Scene 3 [20-31s] VO: And you'd never know. Rankings get tracked every day. AI answers get tracked never. Meanwhile your competitors keep getting named. | VISUAL: Split screen: busy rank tracker vs empty 'AI mentions' dashboard
Scene 4 [31-40s] VO: It's time to measure it. At Permanent SEO we run a simple prompt test for every e-commerce client. | VISUAL: Permanent SEO logo, clean transition to step layout
Scene 5 [40-49s] VO: Step one. Write thirty to fifty real buyer prompts. Best, versus, for a use case, under a price. | VISUAL: Prompt list animates in, tags: BEST / VS / FOR / UNDER
Scene 6 [49-56s] VO: Step two. Run them in ChatGPT, Perplexity, Gemini and Google AI Mode. | VISUAL: Four generic assistant panels light up in sequence
Scene 7 [56-64s] VO: Step three. Log three things. Were you mentioned? Were you described correctly? Which sources were cited? | VISUAL: Spreadsheet columns fill: Mentioned / Accurate / Sources
Scene 8 [64-73s] VO: Step four. Repeat monthly with the same prompts. Answers vary, so you track patterns, not one screenshot. | VISUAL: Line chart placeholder labelled [YOUR TREND DATA]
Scene 9 [73-80s] VO: That sources column becomes your outreach list. The review sites and threads AI already trusts. | VISUAL: Sources column highlighted, arrows to 'Outreach list'
Scene 10 [80-86s] VO: [CLIENT RESULT: mentioned in X of Y prompts after Z months]. | VISUAL: Proof placeholder card
Scene 11 [86-95s] VO: Comment PROMPTGRID for the fifty-prompt test sheet. Or book a free e-commerce SEO audit with Permanent SEO. | VISUAL: End card with keyword, name, Permanent SEO
Final 3 s: dark/navy end card with Permanent SEO logo, 'SEO for E-commerce Brands' and 'Comment "PROMPTGRID"'. Burned-in captions. All text spelled exactly as written, sharp and legible on mobile; no extra words, no watermarks.</t>
  </si>
  <si>
    <t xml:space="preserve">PROMPTGRID</t>
  </si>
  <si>
    <t xml:space="preserve">AI Visibility Prompt Test Sheet (50 buyer prompts + tracking tabs)</t>
  </si>
  <si>
    <t xml:space="preserve">Rankings get tracked daily. AI answers get tracked never.
Run 30–50 buyer prompts in ChatGPT, Perplexity, Gemini and AI Mode monthly. Log: mentioned, accurate, sources cited.
The sources list is your outreach list. #GEO #EcommerceSEO</t>
  </si>
  <si>
    <t xml:space="preserve">Check Brand Visibility in ChatGPT: A Monthly Prompt Test for Stores</t>
  </si>
  <si>
    <t xml:space="preserve">How to check brand visibility in ChatGPT, Perplexity, Gemini and Google AI Mode with a repeatable prompt test. Built for e-commerce brands that want to know if AI assistants recommend them and which sources they trust.</t>
  </si>
  <si>
    <t xml:space="preserve">check brand visibility in ChatGPT, AI visibility audit, GEO, generative engine optimization, ecommerce SEO, Perplexity SEO, Google AI Mode, AI search tracking, prompt testing, Permanent SEO</t>
  </si>
  <si>
    <t xml:space="preserve">Free guide preview: The E-commerce AI Search Starter Guide</t>
  </si>
  <si>
    <t xml:space="preserve">The free guide we hand every new e-commerce client on AI search.</t>
  </si>
  <si>
    <t xml:space="preserve">AI search optimization for ecommerce</t>
  </si>
  <si>
    <t xml:space="preserve">GEO guide, ecommerce AI visibility guide, ChatGPT SEO for stores, Google AI Overviews ecommerce</t>
  </si>
  <si>
    <t xml:space="preserve">The free guide we hand every new e-commerce client on AI search.
When a store joins Permanent SEO, the first question is always the same: "Where do we even start with ChatGPT and AI Overviews?"
So we wrote it down. Seven chapters, no theory padding:
1. How AI assistants choose products
2. Cited vs ranked: what's different
3. Product pages written answer-first
4. Structured data and feed hygiene
5. Brand mentions beyond your site
6. Tracking AI traffic in GA4
7. What not to do (the spam list)
Each chapter ends with a checklist you can hand to your team or developer.
It's the same order we work in on client stores. Foundations first, then the outside signals, then measurement.
Takeaway: AI search isn't a separate channel to panic about. It's a layer on top of good e-commerce SEO.
Comment "AIREADY" and I'll send you the The E-commerce AI Search Starter Guide (7-chapter PDF).
#GEO #AISearch #EcommerceSEO #FreeGuide</t>
  </si>
  <si>
    <t xml:space="preserve">#GEO #AISearch #EcommerceSEO #FreeGuide</t>
  </si>
  <si>
    <t xml:space="preserve">The guide every new client gets on AI search.
7 chapters:
→ How AI picks products
→ Cited vs ranked
→ Answer-first product pages
→ Schema + feed hygiene
→ Mentions beyond your site
→ GA4 AI traffic tracking
→ What not to do
Save this so you remember to grab it.
Comment "AIREADY" for the The E-commerce AI Search Starter Guide (7-chapter PDF).
#ecommerceseo #aisearch #geo #freeguide #shopifyseo #chatgpt #googleaioverviews #seotips #ecommercegrowth #onlinestore #smallbusinesstips #digitalmarketing</t>
  </si>
  <si>
    <t xml:space="preserve">#ecommerceseo #aisearch #geo #freeguide #shopifyseo #chatgpt #googleaioverviews #seotips #ecommercegrowth #onlinestore #smallbusinesstips #digitalmarketing</t>
  </si>
  <si>
    <t xml:space="preserve">Guide preview image, 1080x1350. Left 60%: 3D mock-up of a PDF cover, off-white with deep green accent. Cover title: 'The E-commerce AI Search Starter Guide'. Cover subtitle: 'Get your store understood, cited and recommended by ChatGPT, Google AI Overviews, Perplexity and Gemini'. Cover footer: 'Muhammad Mehrooz Shafique | Permanent SEO'.
Right 40%: numbered contents list in bold condensed type:
01 How AI assistants choose products
02 Cited vs ranked
03 Answer-first product pages
04 Structured data + feed hygiene
05 Brand mentions beyond your site
06 Tracking AI traffic in GA4
07 What NOT to do
Small badge top-right: 'FREE PDF · 7 chapters · checklists included'.
Bottom full-width banner, deep green with white text: Comment 'AIREADY' for free access.</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</si>
  <si>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"The free guide we hand every new e-commerce client on AI search."
SUBHEAD: "Free guide preview: The E-commerce AI Search Starter Guide"
MAIN VISUAL: the layout described below containing exactly: 
Guide preview image, 1080x1350. Left 60%: 3D mock-up of a PDF cover, off-white with deep green accent. Cover title: 'The E-commerce AI Search Starter Guide'. Cover subtitle: 'Get your store understood, cited and recommended by ChatGPT, Google AI Overviews, Perplexity and Gemini'. Cover footer: 'Muhammad Mehrooz Shafique | Permanent SEO'.
Right 40%: numbered contents list in bold condensed type:
01 How AI assistants choose products
02 Cited vs ranked
03 Answer-first product pages
04 Structured data + feed hygiene
05 Brand mentions beyond your site
06 Tracking AI traffic in GA4
07 What NOT to do
Small badge top-right: 'FREE PDF · 7 chapters · checklists included'.
Bottom full-width banner, deep green with white text: Comment 'AIREADY' for free access.
CTA BANNER (bottom, navy rounded box, white text, keyword in blue): Comment "AIREADY" for The E-commerce AI Search Starter Guide (7-chapter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</si>
  <si>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"The free guide we hand every new e-commerce client on AI search."
BODY (numbered points / simple visual): the 3–5 key points from this brief, shortened to max 8 words each:
Guide preview image, 1080x1350. Left 60%: 3D mock-up of a PDF cover, off-white with deep green accent. Cover title: 'The E-commerce AI Search Starter Guide'. Cover subtitle: 'Get your store understood, cited and recommended by ChatGPT, Google AI Overviews, Perplexity and Gemini'. Cover footer: 'Muhammad Mehrooz Shafique | Permanent SEO'.
Right 40%: numbered contents list in bold condensed type:
01 How AI assistants choose products
02 Cited vs ranked
03 Answer-first product pages
04 Structured data + feed hygiene
05 Brand mentions beyond your site
06 Tracking AI traffic in GA4
07 What NOT to do
Small badge top-right: 'FREE PDF · 7 chapters · checklists included'.
Bottom full-width banner, deep green with white text: Comment 'AIREADY' for free access.
BOTTOM BAR: Comment "AIREADY" for The E-commerce AI Search Starter Guide (7-chapter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</si>
  <si>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AIREADY</t>
  </si>
  <si>
    <t xml:space="preserve">The E-commerce AI Search Starter Guide (7-chapter PDF)</t>
  </si>
  <si>
    <t xml:space="preserve">Wrote down the exact order we use for AI search on client stores:
1. How AI picks products
2. Cited vs ranked
3. Answer-first pages
4. Schema + feeds
5. Outside mentions
6. GA4 tracking
7. What not to do
Foundations first. #GEO #EcommerceSEO</t>
  </si>
  <si>
    <t xml:space="preserve">Merchant Center feed fixes for AI shopping surfaces</t>
  </si>
  <si>
    <t xml:space="preserve">Your product feed is now an AI input. Treat it like one.</t>
  </si>
  <si>
    <t xml:space="preserve">Google Merchant Center feed optimization</t>
  </si>
  <si>
    <t xml:space="preserve">product feed for AI shopping, Merchant Center attributes, Shopping Graph, free product listings, Google AI Mode shopping</t>
  </si>
  <si>
    <t xml:space="preserve">Your product feed is now an AI input. Treat it like one.
Google's shopping experiences, including AI Mode shopping, draw on the Shopping Graph, and Merchant Center feeds are one of its main inputs.
Most store feeds we audit were set up once for Shopping ads and never touched again.
The usual problems:
→ Titles that are just the product name, no type, size or key attribute
→ Missing GTIN, brand or MPN
→ Generic descriptions copied from the supplier
→ No colour, size, material or age group on variants
→ Price or stock in the feed not matching the page
→ Empty product highlights
Each gap makes your product harder to match to a specific prompt like "waterproof hiking boots, wide fit, size 11".
The carousel walks through the attribute fixes in priority order.
Takeaway: a clean feed helps ads, free listings and AI shopping at the same time.
Comment "FEEDFIX" and I'll send you the Merchant Center Feed Health Checklist for AI Shopping (Google Sheet).
#GoogleMerchantCenter #EcommerceSEO #AISearch #ProductFeeds</t>
  </si>
  <si>
    <t xml:space="preserve">#GoogleMerchantCenter #EcommerceSEO #AISearch #ProductFeeds</t>
  </si>
  <si>
    <t xml:space="preserve">Your product feed is an AI input now.
Fix these first:
→ Titles with type + key attribute
→ GTIN, brand, MPN filled
→ Unique descriptions, not supplier copy
→ Colour, size, material on variants
→ Feed price + stock match the page
Save this for your next feed review.
Comment "FEEDFIX" for the Merchant Center Feed Health Checklist for AI Shopping (Google Sheet).
#googlemerchantcenter #productfeed #ecommerceseo #aisearch #googleshopping #shopifyseo #woocommerce #ecommercetips #onlinestore #geo #shoppingads #ecommercegrowth</t>
  </si>
  <si>
    <t xml:space="preserve">#googlemerchantcenter #productfeed #ecommerceseo #aisearch #googleshopping #shopifyseo #woocommerce #ecommercetips #onlinestore #geo #shoppingads #ecommercegrowth</t>
  </si>
  <si>
    <t xml:space="preserve">Slide 1: Your product feed is now an AI input | 6 Merchant Center fixes for AI shopping surfaces | swipe →
Slide 2: Why it matters | Google's shopping results, including AI Mode, draw on the Shopping Graph. Your Merchant Center feed is a core input.
Slide 3: Fix 1: Titles | Brand + product type + key attribute + size/colour. 'Trail X Boot' → 'Trail X Waterproof Hiking Boot, Wide Fit, Men's'.
Slide 4: Fix 2: Identifiers | Fill GTIN, brand and MPN wherever they exist. They help match your product to the right listing.
Slide 5: Fix 3: Descriptions | Replace supplier copy. Lead with use case, materials, fit and what's included.
Slide 6: Fix 4: Variant attributes | color, size, material, gender, age_group, item_group_id. Each one answers a filter in a prompt.
Slide 7: Fix 5: Page match | Price, availability and shipping in the feed must match the landing page. Mismatches cause disapprovals and lost trust.
Slide 8: Fix 6: Product highlights | Add 4–6 short product_highlight bullets. Plain, factual, scannable.
Slide 9: Check it monthly | Merchant Center diagnostics → fix errors first, then warnings, then missing optional attributes.
Slide 10: Want the feed checklist? | Comment FEEDFIX and I'll send it | Follow Muhammad Mehrooz Shafique for e-commerce GEO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</si>
  <si>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Your product feed is now an AI input | 6 Merchant Center fixes for AI shopping surfaces | swipe →
Slide 2: Why it matters | Google's shopping results, including AI Mode, draw on the Shopping Graph. Your Merchant Center feed is a core input.
Slide 3: Fix 1: Titles | Brand + product type + key attribute + size/colour. 'Trail X Boot' → 'Trail X Waterproof Hiking Boot, Wide Fit, Men's'.
Slide 4: Fix 2: Identifiers | Fill GTIN, brand and MPN wherever they exist. They help match your product to the right listing.
Slide 5: Fix 3: Descriptions | Replace supplier copy. Lead with use case, materials, fit and what's included.
Slide 6: Fix 4: Variant attributes | color, size, material, gender, age_group, item_group_id. Each one answers a filter in a prompt.
Slide 7: Fix 5: Page match | Price, availability and shipping in the feed must match the landing page. Mismatches cause disapprovals and lost trust.
Slide 8: Fix 6: Product highlights | Add 4–6 short product_highlight bullets. Plain, factual, scannable.
Slide 9: Check it monthly | Merchant Center diagnostics → fix errors first, then warnings, then missing optional attributes.
Slide 10: Want the feed checklist? | Comment FEEDFIX and I'll send it | Follow Muhammad Mehrooz Shafique for e-commerce GEO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</si>
  <si>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Your product feed is now an AI input | 6 Merchant Center fixes for AI shopping surfaces | swipe →
Slide 2: Why it matters | Google's shopping results, including AI Mode, draw on the Shopping Graph. Your Merchant Center feed is a core input.
Slide 3: Fix 1: Titles | Brand + product type + key attribute + size/colour. 'Trail X Boot' → 'Trail X Waterproof Hiking Boot, Wide Fit, Men's'.
Slide 4: Fix 2: Identifiers | Fill GTIN, brand and MPN wherever they exist. They help match your product to the right listing.
Slide 5: Fix 3: Descriptions | Replace supplier copy. Lead with use case, materials, fit and what's included.
Slide 6: Fix 4: Variant attributes | color, size, material, gender, age_group, item_group_id. Each one answers a filter in a prompt.
Slide 7: Fix 5: Page match | Price, availability and shipping in the feed must match the landing page. Mismatches cause disapprovals and lost trust.
Slide 8: Fix 6: Product highlights | Add 4–6 short product_highlight bullets. Plain, factual, scannable.
Slide 9: Check it monthly | Merchant Center diagnostics → fix errors first, then warnings, then missing optional attributes.
Slide 10: Want the feed checklist? | Comment FEEDFIX and I'll send it | Follow Muhammad Mehrooz Shafique for e-commerce GEO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</si>
  <si>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FEEDFIX</t>
  </si>
  <si>
    <t xml:space="preserve">Merchant Center Feed Health Checklist for AI Shopping (Google Sheet)</t>
  </si>
  <si>
    <t xml:space="preserve">Your Merchant Center feed isn't just for Shopping ads anymore.
Google's shopping experiences, AI Mode included, draw on the Shopping Graph, and feeds are a core input. 6 fixes we make on almost every store: #GoogleMerchantCenter
---
1. Titles
Brand + product type + key attribute + size/colour.
"Trail X Boot" tells AI nothing.
"Trail X Waterproof Hiking Boot, Wide Fit, Men's" answers a real prompt.
---
2. Identifiers: GTIN, brand, MPN wherever they exist.
3. Descriptions: replace supplier copy with use case, materials, fit, what's in the box.
---
4. Variant attributes: color, size, material, gender, age_group, item_group_id. Each one answers a filter a shopper types into a prompt.
---
5. Feed must match the page. Price, stock, shipping.
6. Product highlights: 4–6 short factual bullets.
Check Merchant Center diagnostics monthly. Errors first, then warnings. #EcommerceSEO</t>
  </si>
  <si>
    <t xml:space="preserve">r/PPC</t>
  </si>
  <si>
    <t xml:space="preserve">Merchant Center feed checks that also matter for Google's AI shopping results</t>
  </si>
  <si>
    <t xml:space="preserve">A lot of stores set up their Merchant Center feed once for Shopping ads and never revisit it. With Google's shopping results (including AI Mode) drawing on the Shopping Graph, the feed is doing more work than it used to, including for free listings.
The checks I run on most feeds:
- Titles include product type and the key attribute, not just a model name
- GTIN, brand and MPN are filled where they exist
- Descriptions are rewritten, not supplier copy duplicated across hundreds of stores
- Variants carry color, size, material, gender and age_group, grouped with item_group_id
- Price, availability and shipping match the landing page exactly
- product_highlight has a few short factual bullets
None of this is new, but the payoff seems wider now because the same data feeds ads, free listings and the newer AI shopping surfaces.
For people managing bigger catalogues, do you rewrite titles with feed rules, a feed tool, or at the source in the store platform?</t>
  </si>
  <si>
    <t xml:space="preserve">Where AI assistants look for brand mentions in e-commerce</t>
  </si>
  <si>
    <t xml:space="preserve">AI assistants trust what others say about you. Here's where.</t>
  </si>
  <si>
    <t xml:space="preserve">brand mentions for AI search</t>
  </si>
  <si>
    <t xml:space="preserve">AI search sources, Reddit for brand visibility, YouTube reviews SEO, off-site GEO, unlinked brand mentions</t>
  </si>
  <si>
    <t xml:space="preserve">AI assistants trust what others say about you. Here's where.
When we look at the sources cited in AI answers for e-commerce prompts, the same source types keep coming back:
→ Reddit and niche forums: real buyer discussions
→ YouTube: reviews, tests, comparisons
→ Review platforms: Trustpilot, category-specific review sites
→ Editorial lists: "best X for Y" roundups from publishers
→ Marketplaces: Amazon and similar listings with reviews
→ Your own site: product, category and guide pages
The mix changes by category and by assistant. A skincare prompt and a power-tools prompt pull very different sources.
So don't copy a generic chart. Run your own prompts, log the cited domains, and you get your category's real map.
The image shows the six source types and what to do on each one.
Takeaway: your website is one source of many. Earn your place on the others.
Comment "MENTIONMAP" and I'll send you the AI Source Map Template: log cited domains by category (Google Sheet).
#GEO #AISearch #BrandMentions #EcommerceSEO</t>
  </si>
  <si>
    <t xml:space="preserve">#GEO #AISearch #BrandMentions #EcommerceSEO</t>
  </si>
  <si>
    <t xml:space="preserve">AI trusts what others say about you.
The 6 source types we see cited most:
→ Reddit + forums
→ YouTube reviews
→ Review platforms
→ Editorial best-of lists
→ Marketplaces
→ Your own site
The mix changes by category. Map yours.
Save this before planning your next PR push.
Comment "MENTIONMAP" for the AI Source Map Template: log cited domains by category (Google Sheet).
#aisearch #geo #brandmentions #ecommerceseo #reddit #youtubeseo #onlinereviews #digitalpr #chatgpt #perplexity #shopifyseo #ecommercemarketing</t>
  </si>
  <si>
    <t xml:space="preserve">#aisearch #geo #brandmentions #ecommerceseo #reddit #youtubeseo #onlinereviews #digitalpr #chatgpt #perplexity #shopifyseo #ecommercemarketing</t>
  </si>
  <si>
    <t xml:space="preserve">Single image, 1080x1350, framework diagram. White background, charcoal text, one accent colour (orange).
Headline: WHERE AI LOOKS FOR YOUR BRAND
Sub-headline: 6 source types cited in e-commerce AI answers (mix varies by category)
Centre: a circle labelled 'AI answer' with 6 spokes to labelled tiles. Each tile has a title + one action line:
1. Reddit &amp; forums → Join real threads as a named brand rep. Answer, don't pitch.
2. YouTube → Send product to honest reviewers. Publish your own demos.
3. Review platforms → Ask every buyer for a review post-delivery.
4. Editorial lists → Pitch 'best X for Y' roundups with specs and samples.
5. Marketplaces → Keep listings, specs and reviews consistent with your site.
6. Your own site → Answer-first product, category and comparison pages.
No percentages or bar lengths. Small note under the diagram: 'Run your own prompts to see your category's real mix.'
Footer: Muhammad Mehrooz Shafique | Permanent SEO | Comment 'MENTIONMAP' for the source map template.</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</si>
  <si>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"AI assistants trust what others say about you. Here's where."
SUBHEAD: "Where AI assistants look for brand mentions in e-commerce"
MAIN VISUAL: the layout described below containing exactly: 
Single image, 1080x1350, framework diagram. White background, charcoal text, one accent colour (orange).
Headline: WHERE AI LOOKS FOR YOUR BRAND
Sub-headline: 6 source types cited in e-commerce AI answers (mix varies by category)
Centre: a circle labelled 'AI answer' with 6 spokes to labelled tiles. Each tile has a title + one action line:
1. Reddit &amp; forums → Join real threads as a named brand rep. Answer, don't pitch.
2. YouTube → Send product to honest reviewers. Publish your own demos.
3. Review platforms → Ask every buyer for a review post-delivery.
4. Editorial lists → Pitch 'best X for Y' roundups with specs and samples.
5. Marketplaces → Keep listings, specs and reviews consistent with your site.
6. Your own site → Answer-first product, category and comparison pages.
No percentages or bar lengths. Small note under the diagram: 'Run your own prompts to see your category's real mix.'
Footer: Muhammad Mehrooz Shafique | Permanent SEO | Comment 'MENTIONMAP' for the source map template.
CTA BANNER (bottom, navy rounded box, white text, keyword in blue): Comment "MENTIONMAP" for AI Source Map Template: log cited domains by category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</si>
  <si>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"AI assistants trust what others say about you. Here's where."
BODY (numbered points / simple visual): the 3–5 key points from this brief, shortened to max 8 words each:
Single image, 1080x1350, framework diagram. White background, charcoal text, one accent colour (orange).
Headline: WHERE AI LOOKS FOR YOUR BRAND
Sub-headline: 6 source types cited in e-commerce AI answers (mix varies by category)
Centre: a circle labelled 'AI answer' with 6 spokes to labelled tiles. Each tile has a title + one action line:
1. Reddit &amp; forums → Join real threads as a named brand rep. Answer, don't pitch.
2. YouTube → Send product to honest reviewers. Publish your own demos.
3. Review platforms → Ask every buyer for a review post-delivery.
4. Editorial lists → Pitch 'best X for Y' roundups with specs and samples.
5. Marketplaces → Keep listings, specs and reviews consistent with your site.
6. Your own site → Answer-first product, category and comparison pages.
No percentages or bar lengths. Small note under the diagram: 'Run your own prompts to see your category's real mix.'
Footer: Muhammad Mehrooz Shafique | Permanent SEO | Comment 'MENTIONMAP' for the source map template.
BOTTOM BAR: Comment "MENTIONMAP" for AI Source Map Template: log cited domains by category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</si>
  <si>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MENTIONMAP</t>
  </si>
  <si>
    <t xml:space="preserve">AI Source Map Template: log cited domains by category (Google Sheet)</t>
  </si>
  <si>
    <t xml:space="preserve">AI assistants trust what others say about you.
Source types we keep seeing cited for e-commerce prompts: Reddit, YouTube, review sites, editorial best-of lists, marketplaces, your own site.
The mix varies by category. Map yours. #GEO</t>
  </si>
  <si>
    <t xml:space="preserve">More content won't make AI recommend your store</t>
  </si>
  <si>
    <t xml:space="preserve">We don't publish more pages. We publish clearer ones.</t>
  </si>
  <si>
    <t xml:space="preserve">content for AI search</t>
  </si>
  <si>
    <t xml:space="preserve">AI search content strategy, product page clarity, GEO content, ecommerce content quality</t>
  </si>
  <si>
    <t xml:space="preserve">We don't publish more pages. We publish clearer ones.
A common reaction to AI search: "Let's publish 200 more blog posts."
That rarely moves anything. AI assistants aren't counting your pages. They're looking for a clear, quotable answer to one buyer's question.
Before you write anything new, three things should be obvious on your existing product and category pages:
→ Who exactly is this product for?
→ What makes it different from the obvious alternative?
→ What proof backs that up?
If a page can't answer those in the first few lines, a new blog post won't save it.
We usually get more from rewriting 20 key pages than from publishing 100 new ones.
Takeaway: volume creates noise. Clarity creates citations.
Comment "PAGECLARITY" and I'll send you the Product Page Clarity Rewrite Template (Google Doc).
#GEO #AISearch #ContentStrategy #EcommerceSEO</t>
  </si>
  <si>
    <t xml:space="preserve">#GEO #AISearch #ContentStrategy #EcommerceSEO</t>
  </si>
  <si>
    <t xml:space="preserve">More pages won't get you recommended.
Every key page should answer:
→ Who is this for?
→ Why this over the obvious alternative?
→ What proves it?
Rewrite 20 pages before you publish 100.
Share this with your content team.
Comment "PAGECLARITY" for the Product Page Clarity Rewrite Template (Google Doc).
#contentstrategy #aisearch #geo #ecommerceseo #productpage #copywriting #shopifyseo #seotips #seomyths #onlinestore #ecommercetips #chatgpt</t>
  </si>
  <si>
    <t xml:space="preserve">#contentstrategy #aisearch #geo #ecommerceseo #productpage #copywriting #shopifyseo #seotips #seomyths #onlinestore #ecommercetips #chatgpt</t>
  </si>
  <si>
    <t xml:space="preserve">[0-3s] VO: We don't publish more pages. | ON-SCREEN: We don't publish more pages. | VISUAL: Pile of blank page icons topples
[3-5s] VO: We publish clearer ones. | ON-SCREEN: We publish clearer ones. | VISUAL: One clean product page slides forward, sharp focus
[5-8s] VO: Most AI search plans begin here. | ON-SCREEN: Most AI search plans begin here. | VISUAL: Calendar filling with 'Blog post' blocks
[8-9s] VO: Volume. | ON-SCREEN: Volume. | VISUAL: Word alone, centre
[9-10s] VO: Keywords. | ON-SCREEN: Keywords. | VISUAL: Word alone, centre
[9-10s] VO: Schedules. | ON-SCREEN: Schedules. | VISUAL: Word alone, centre
[10-15s] VO: But before new content, three things need to be clear. | ON-SCREEN: 3 things first | VISUAL: Counter 1-2-3
[15-18s] VO: Who exactly is this product for? | ON-SCREEN: Who is it for? | VISUAL: Customer silhouette appears beside product
[18-21s] VO: Why this over the obvious alternative? | ON-SCREEN: Why this one? | VISUAL: Two products side by side, one highlighted
[21-23s] VO: What proves it? | ON-SCREEN: What proves it? | VISUAL: Review stars and spec sheet pop in
[23-27s] VO: Without those answers, content doesn't get cited. | ON-SCREEN: Not cited. | VISUAL: AI answer box with other brands, yours missing
[27-29s] VO: It just gets indexed. | ON-SCREEN: Just indexed. | VISUAL: Grey 'indexed' tag stamps on page
[29-32s] VO: Clarity is what AI actually quotes. | ON-SCREEN: Clarity is what AI quotes. | Comment PAGECLARITY | VISUAL: End card, name +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</si>
  <si>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[0-3s] VO: We don't publish more pages. | ON-SCREEN: We don't publish more pages. | VISUAL: Pile of blank page icons topples
[3-5s] VO: We publish clearer ones. | ON-SCREEN: We publish clearer ones. | VISUAL: One clean product page slides forward, sharp focus
[5-8s] VO: Most AI search plans begin here. | ON-SCREEN: Most AI search plans begin here. | VISUAL: Calendar filling with 'Blog post' blocks
[8-9s] VO: Volume. | ON-SCREEN: Volume. | VISUAL: Word alone, centre
[9-10s] VO: Keywords. | ON-SCREEN: Keywords. | VISUAL: Word alone, centre
[9-10s] VO: Schedules. | ON-SCREEN: Schedules. | VISUAL: Word alone, centre
[10-15s] VO: But before new content, three things need to be clear. | ON-SCREEN: 3 things first | VISUAL: Counter 1-2-3
[15-18s] VO: Who exactly is this product for? | ON-SCREEN: Who is it for? | VISUAL: Customer silhouette appears beside product
[18-21s] VO: Why this over the obvious alternative? | ON-SCREEN: Why this one? | VISUAL: Two products side by side, one highlighted
[21-23s] VO: What proves it? | ON-SCREEN: What proves it? | VISUAL: Review stars and spec sheet pop in
[23-27s] VO: Without those answers, content doesn't get cited. | ON-SCREEN: Not cited. | VISUAL: AI answer box with other brands, yours missing
[27-29s] VO: It just gets indexed. | ON-SCREEN: Just indexed. | VISUAL: Grey 'indexed' tag stamps on page
[29-32s] VO: Clarity is what AI actually quotes. | ON-SCREEN: Clarity is what AI quotes. | Comment PAGECLARITY | VISUAL: End card, name + Permanent SEO
Final 3 s: dark/navy end card with Permanent SEO logo, 'SEO for E-commerce Brands' and 'Comment "PAGECLARITY"'. Burned-in captions. All text spelled exactly as written, sharp and legible on mobile; no extra words, no watermarks.</t>
  </si>
  <si>
    <t xml:space="preserve">PAGECLARITY</t>
  </si>
  <si>
    <t xml:space="preserve">Product Page Clarity Rewrite Template (Google Doc)</t>
  </si>
  <si>
    <t xml:space="preserve">AI assistants aren't counting your pages. They're looking for a clear answer to one buyer's question.
Rewrite 20 key product pages before you publish 100 new posts. Who is it for, why this one, what proves it. #GEO #EcommerceSEO</t>
  </si>
  <si>
    <t xml:space="preserve">Content for AI Search: Why More Pages Won't Get You Recommended</t>
  </si>
  <si>
    <t xml:space="preserve">Content for AI search isn't about volume. Here's why clear, answer-first product and category pages get cited by ChatGPT and AI Overviews more than another 100 blog posts. #Shorts</t>
  </si>
  <si>
    <t xml:space="preserve">content for AI search, GEO, generative engine optimization, ecommerce SEO, product page SEO, ChatGPT SEO, AI Overviews, content strategy, Shopify SEO, SEO myths</t>
  </si>
  <si>
    <t xml:space="preserve">Track ChatGPT and Perplexity traffic in GA4 with a channel group</t>
  </si>
  <si>
    <t xml:space="preserve">ChatGPT is sending you visitors. GA4 is hiding them in Referral.</t>
  </si>
  <si>
    <t xml:space="preserve">track AI traffic in GA4</t>
  </si>
  <si>
    <t xml:space="preserve">ChatGPT referral traffic GA4, GA4 custom channel group AI, Perplexity traffic analytics, AI referral regex, measure AI search traffic</t>
  </si>
  <si>
    <t xml:space="preserve">ChatGPT is sending you visitors. GA4 is hiding them in Referral.
By default, visits from ChatGPT, Perplexity, Gemini and Copilot get lumped into Referral with every other site. So most store owners have no idea how much AI traffic they get, or what it buys.
The fix takes ten minutes:
→ Admin → Data display → Channel groups → create new group
→ Add a channel called "AI Assistants"
→ Condition: Session source matches regex for chatgpt, perplexity, gemini, copilot, claude
→ Move it ABOVE Referral so it catches those sessions first
Now you can see AI sessions, conversion rate and revenue by assistant.
One honest caveat: clicks from Google AI Overviews and AI Mode are reported as Google organic. You can't split them out in GA4.
Takeaway: you can't defend a channel budget you can't see.
Comment "GA4REGEX" and I'll send you the GA4 AI Assistants Channel Group Setup SOP + Regex (PDF).
#GA4 #AISearch #EcommerceAnalytics #GEO</t>
  </si>
  <si>
    <t xml:space="preserve">#GA4 #AISearch #EcommerceAnalytics #GEO</t>
  </si>
  <si>
    <t xml:space="preserve">Your AI traffic is hiding in Referral.
Fix it in GA4:
→ Create a custom channel group
→ Add channel 'AI Assistants'
→ Source matches regex: chatgpt, perplexity, gemini, copilot, claude
→ Place it above Referral
Note: AI Overviews clicks still show as Google organic.
Save this for your next analytics session.
Comment "GA4REGEX" for the GA4 AI Assistants Channel Group Setup SOP + Regex (PDF).
#ga4 #googleanalytics #aisearch #ecommerceanalytics #chatgpt #perplexity #geo #ecommerceseo #shopifytips #dataanalytics #seotips #onlinestore</t>
  </si>
  <si>
    <t xml:space="preserve">#ga4 #googleanalytics #aisearch #ecommerceanalytics #chatgpt #perplexity #geo #ecommerceseo #shopifytips #dataanalytics #seotips #onlinestore</t>
  </si>
  <si>
    <t xml:space="preserve">Scene 1 [0-6s] VO: Monthly report time. Referral traffic up again. From where? No idea. Huh. | VISUAL: Founder squinting at a GA4-style chart, 'Referral' bar growing, shrug
Scene 2 [6-20s] VO: Let's be honest. Your problem isn't a lack of AI traffic. It's that GA4 hides it in Referral, next to every random blog that links to you. | VISUAL: Referral bucket animation, AI logos (generic icons) dropping into it
Scene 3 [20-30s] VO: So you can't tell if ChatGPT shoppers buy. You can't report it. And you can't justify working on it. | VISUAL: Three red crosses: Measure / Report / Budget
Scene 4 [30-35s] VO: Here's how we fix it for every Permanent SEO client. | VISUAL: Permanent SEO logo transition
Scene 5 [35-44s] VO: Step one. In GA4 Admin, open Data display, then Channel groups, and create a new group. | VISUAL: Screen-style mock: Admin &gt; Data display &gt; Channel groups &gt; Create
Scene 6 [44-56s] VO: Step two. Add a channel called AI Assistants. Set the condition to session source matches regex for chatgpt, perplexity, gemini, copilot and claude. | VISUAL: Regex shown on screen: .*(chatgpt|perplexity|gemini|copilot|claude).*
Scene 7 [56-64s] VO: Step three. Drag it above Referral. Order matters. GA4 uses the first rule that matches. | VISUAL: Channel list reorders, AI Assistants moves above Referral
Scene 8 [64-70s] VO: Step four. Build a simple report. Sessions, conversion rate and revenue by assistant. | VISUAL: Exploration table placeholder: [YOUR GA4 DATA]
Scene 9 [70-80s] VO: One caveat. Google AI Overviews and AI Mode clicks still show as Google organic. You can't separate them here. | VISUAL: Small caution card
Scene 10 [80-87s] VO: [CLIENT RESULT: AI Assistants channel converted at X% vs Y% site average]. | VISUAL: Proof placeholder card
Scene 11 [87-95s] VO: Comment GA4REGEX for the setup SOP. Or book a free e-commerce SEO audit with Permanent SEO. | VISUAL: End card</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</si>
  <si>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[0-6s] VO: Monthly report time. Referral traffic up again. From where? No idea. Huh. | VISUAL: Founder squinting at a GA4-style chart, 'Referral' bar growing, shrug
Scene 2 [6-20s] VO: Let's be honest. Your problem isn't a lack of AI traffic. It's that GA4 hides it in Referral, next to every random blog that links to you. | VISUAL: Referral bucket animation, AI logos (generic icons) dropping into it
Scene 3 [20-30s] VO: So you can't tell if ChatGPT shoppers buy. You can't report it. And you can't justify working on it. | VISUAL: Three red crosses: Measure / Report / Budget
Scene 4 [30-35s] VO: Here's how we fix it for every Permanent SEO client. | VISUAL: Permanent SEO logo transition
Scene 5 [35-44s] VO: Step one. In GA4 Admin, open Data display, then Channel groups, and create a new group. | VISUAL: Screen-style mock: Admin &gt; Data display &gt; Channel groups &gt; Create
Scene 6 [44-56s] VO: Step two. Add a channel called AI Assistants. Set the condition to session source matches regex for chatgpt, perplexity, gemini, copilot and claude. | VISUAL: Regex shown on screen: .*(chatgpt|perplexity|gemini|copilot|claude).*
Scene 7 [56-64s] VO: Step three. Drag it above Referral. Order matters. GA4 uses the first rule that matches. | VISUAL: Channel list reorders, AI Assistants moves above Referral
Scene 8 [64-70s] VO: Step four. Build a simple report. Sessions, conversion rate and revenue by assistant. | VISUAL: Exploration table placeholder: [YOUR GA4 DATA]
Scene 9 [70-80s] VO: One caveat. Google AI Overviews and AI Mode clicks still show as Google organic. You can't separate them here. | VISUAL: Small caution card
Scene 10 [80-87s] VO: [CLIENT RESULT: AI Assistants channel converted at X% vs Y% site average]. | VISUAL: Proof placeholder card
Scene 11 [87-95s] VO: Comment GA4REGEX for the setup SOP. Or book a free e-commerce SEO audit with Permanent SEO. | VISUAL: End card
End card: Permanent SEO logo + 'Comment "GA4REGEX"'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</si>
  <si>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[0-6s] VO: Monthly report time. Referral traffic up again. From where? No idea. Huh. | VISUAL: Founder squinting at a GA4-style chart, 'Referral' bar growing, shrug
Scene 2 [6-20s] VO: Let's be honest. Your problem isn't a lack of AI traffic. It's that GA4 hides it in Referral, next to every random blog that links to you. | VISUAL: Referral bucket animation, AI logos (generic icons) dropping into it
Scene 3 [20-30s] VO: So you can't tell if ChatGPT shoppers buy. You can't report it. And you can't justify working on it. | VISUAL: Three red crosses: Measure / Report / Budget
Scene 4 [30-35s] VO: Here's how we fix it for every Permanent SEO client. | VISUAL: Permanent SEO logo transition
Scene 5 [35-44s] VO: Step one. In GA4 Admin, open Data display, then Channel groups, and create a new group. | VISUAL: Screen-style mock: Admin &gt; Data display &gt; Channel groups &gt; Create
Scene 6 [44-56s] VO: Step two. Add a channel called AI Assistants. Set the condition to session source matches regex for chatgpt, perplexity, gemini, copilot and claude. | VISUAL: Regex shown on screen: .*(chatgpt|perplexity|gemini|copilot|claude).*
Scene 7 [56-64s] VO: Step three. Drag it above Referral. Order matters. GA4 uses the first rule that matches. | VISUAL: Channel list reorders, AI Assistants moves above Referral
Scene 8 [64-70s] VO: Step four. Build a simple report. Sessions, conversion rate and revenue by assistant. | VISUAL: Exploration table placeholder: [YOUR GA4 DATA]
Scene 9 [70-80s] VO: One caveat. Google AI Overviews and AI Mode clicks still show as Google organic. You can't separate them here. | VISUAL: Small caution card
Scene 10 [80-87s] VO: [CLIENT RESULT: AI Assistants channel converted at X% vs Y% site average]. | VISUAL: Proof placeholder card
Scene 11 [87-95s] VO: Comment GA4REGEX for the setup SOP. Or book a free e-commerce SEO audit with Permanent SEO. | VISUAL: End card
Final 3 s: dark/navy end card with Permanent SEO logo, 'SEO for E-commerce Brands' and 'Comment "GA4REGEX"'. Burned-in captions. All text spelled exactly as written, sharp and legible on mobile; no extra words, no watermarks.</t>
  </si>
  <si>
    <t xml:space="preserve">GA4REGEX</t>
  </si>
  <si>
    <t xml:space="preserve">GA4 AI Assistants Channel Group Setup SOP + Regex (PDF)</t>
  </si>
  <si>
    <t xml:space="preserve">GA4 lumps ChatGPT, Perplexity, Gemini and Copilot visits into Referral.
Create a custom channel group, add an "AI Assistants" channel with a source regex, place it above Referral.
AI Overviews clicks still show as organic. #GA4 #GEO</t>
  </si>
  <si>
    <t xml:space="preserve">Track AI Traffic in GA4: ChatGPT &amp; Perplexity Channel Group Setup</t>
  </si>
  <si>
    <t xml:space="preserve">How to track AI traffic in GA4 by creating a custom channel group for ChatGPT, Perplexity, Gemini, Copilot and Claude referrals. Built for e-commerce stores that want to see AI sessions, conversions and revenue, plus the honest limits on Google AI Overviews data.</t>
  </si>
  <si>
    <t xml:space="preserve">track AI traffic in GA4, GA4 custom channel group, ChatGPT referral traffic, Perplexity traffic, AI search analytics, ecommerce analytics, GA4 regex, GEO, Google Analytics 4, Permanent SEO</t>
  </si>
  <si>
    <t xml:space="preserve">Case study: fixing how AI assistants describe a skincare brand</t>
  </si>
  <si>
    <t xml:space="preserve">ChatGPT was describing our client's brand wrong. Here's what we fixed.</t>
  </si>
  <si>
    <t xml:space="preserve">brand entity optimization</t>
  </si>
  <si>
    <t xml:space="preserve">fix AI brand description, entity SEO ecommerce, Organization schema, brand consistency AI search</t>
  </si>
  <si>
    <t xml:space="preserve">ChatGPT was describing our client's brand wrong. Here's what we fixed.
[Client: UK skincare store]. When we prompt-tested them, AI assistants mixed them up with an older brand with a similar name, and listed products they discontinued [X] years ago.
The cause wasn't one thing. It was scattered signals:
→ Three different brand descriptions across site, socials and marketplaces
→ An About page with no founding date, location or clear product focus
→ No Organization schema and no sameAs links
→ Old directory listings still showing the discontinued range
What we did over [X] weeks:
1. One canonical brand description, used everywhere
2. Rebuilt the About page with facts: founders, founded, location, what they make
3. Organization schema with sameAs to every official profile
4. Updated or removed outdated listings
Result: [CLIENT RESULT: correct description in X of Y test prompts, up from Z].
Takeaway: if the web disagrees about who you are, AI will guess.
Comment "ENTITYFIX" and I'll send you the Brand Entity Cleanup Checklist (Google Sheet).
#EntitySEO #GEO #AISearch #CaseStudy</t>
  </si>
  <si>
    <t xml:space="preserve">#EntitySEO #GEO #AISearch #CaseStudy</t>
  </si>
  <si>
    <t xml:space="preserve">AI was describing our client's brand wrong.
The cause:
→ 3 different brand descriptions
→ Thin About page
→ No Organization schema or sameAs
→ Old listings with discontinued products
The fix: one description everywhere, factual About page, schema, cleaned listings.
Result: [CLIENT RESULT].
Save this if your brand name is often confused.
Comment "ENTITYFIX" for the Brand Entity Cleanup Checklist (Google Sheet).
#entityseo #casestudy #aisearch #geo #ecommerceseo #skincarebrand #brandconsistency #schemamarkup #chatgpt #shopifyseo #seoresults #ukbusiness</t>
  </si>
  <si>
    <t xml:space="preserve">#entityseo #casestudy #aisearch #geo #ecommerceseo #skincarebrand #brandconsistency #schemamarkup #chatgpt #shopifyseo #seoresults #ukbusiness</t>
  </si>
  <si>
    <t xml:space="preserve">Single image, 1080x1350, case study layout. Soft cream background, dark text, accent sage green.
Top label: CASE STUDY
Headline: AI WAS GETTING THIS BRAND WRONG
Sub-headline: [Client: UK skincare store] | Entity cleanup in [X] weeks
Left column 'BEFORE' (red ❌ icons): ❌ 3 different brand descriptions | ❌ Confused with an older similar-named brand | ❌ Discontinued products listed in AI answers | ❌ No Organization schema
Right column 'AFTER' (green ✅ icons): ✅ One canonical description everywhere | ✅ Fact-based About page | ✅ Organization schema + sameAs | ✅ Outdated listings fixed
Centre result box: [CLIENT RESULT: correct description in X of Y prompts, up from Z]
Footer: Muhammad Mehrooz Shafique | Permanent SEO | Comment 'ENTITYFIX' for the checklist.</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</si>
  <si>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"ChatGPT was describing our client's brand wrong. Here's what we fixed."
SUBHEAD: "Case study: fixing how AI assistants describe a skincare brand"
MAIN VISUAL: the layout described below containing exactly: 
Single image, 1080x1350, case study layout. Soft cream background, dark text, accent sage green.
Top label: CASE STUDY
Headline: AI WAS GETTING THIS BRAND WRONG
Sub-headline: [Client: UK skincare store] | Entity cleanup in [X] weeks
Left column 'BEFORE' (red ❌ icons): ❌ 3 different brand descriptions | ❌ Confused with an older similar-named brand | ❌ Discontinued products listed in AI answers | ❌ No Organization schema
Right column 'AFTER' (green ✅ icons): ✅ One canonical description everywhere | ✅ Fact-based About page | ✅ Organization schema + sameAs | ✅ Outdated listings fixed
Centre result box: [CLIENT RESULT: correct description in X of Y prompts, up from Z]
Footer: Muhammad Mehrooz Shafique | Permanent SEO | Comment 'ENTITYFIX' for the checklist.
CTA BANNER (bottom, navy rounded box, white text, keyword in blue): Comment "ENTITYFIX" for Brand Entity Cleanup Checklist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</si>
  <si>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"ChatGPT was describing our client's brand wrong. Here's what we fixed."
BODY (numbered points / simple visual): the 3–5 key points from this brief, shortened to max 8 words each:
Single image, 1080x1350, case study layout. Soft cream background, dark text, accent sage green.
Top label: CASE STUDY
Headline: AI WAS GETTING THIS BRAND WRONG
Sub-headline: [Client: UK skincare store] | Entity cleanup in [X] weeks
Left column 'BEFORE' (red ❌ icons): ❌ 3 different brand descriptions | ❌ Confused with an older similar-named brand | ❌ Discontinued products listed in AI answers | ❌ No Organization schema
Right column 'AFTER' (green ✅ icons): ✅ One canonical description everywhere | ✅ Fact-based About page | ✅ Organization schema + sameAs | ✅ Outdated listings fixed
Centre result box: [CLIENT RESULT: correct description in X of Y prompts, up from Z]
Footer: Muhammad Mehrooz Shafique | Permanent SEO | Comment 'ENTITYFIX' for the checklist.
BOTTOM BAR: Comment "ENTITYFIX" for Brand Entity Cleanup Checklist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</si>
  <si>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ENTITYFIX</t>
  </si>
  <si>
    <t xml:space="preserve">Brand Entity Cleanup Checklist (Google Sheet)</t>
  </si>
  <si>
    <t xml:space="preserve">AI assistants were confusing a client's skincare brand with an older one.
Fix: one brand description everywhere, a fact-based About page, Organization schema with sameAs, cleaned old listings.
Result: [CLIENT RESULT]. #EntitySEO #GEO</t>
  </si>
  <si>
    <t xml:space="preserve">Entity consistency: About page, Organization schema and sameAs</t>
  </si>
  <si>
    <t xml:space="preserve">If the web can't agree who you are, AI won't either.</t>
  </si>
  <si>
    <t xml:space="preserve">Organization schema sameAs</t>
  </si>
  <si>
    <t xml:space="preserve">entity SEO for brands, About page SEO, brand knowledge panel, structured data for ecommerce brands, sameAs schema</t>
  </si>
  <si>
    <t xml:space="preserve">If the web can't agree who you are, AI won't either.
AI assistants build a picture of your brand from many sources. When those sources disagree on your name, what you sell or where you're based, the picture gets blurry.
The fix is boring and it works. Three layers:
→ About page: founders, founding year, location, what you make, who for. Facts, not slogans.
→ Organization schema on the homepage: name, url, logo, description, contact details and sameAs links
→ sameAs: every official profile. Instagram, LinkedIn, YouTube, TikTok, Trustpilot, Amazon storefront, Wikidata if you have it.
Then make every one of those profiles use the same name and the same one-line description.
The carousel walks through each layer with what to write and what to skip.
Takeaway: consistency is the cheapest AI search win most brands ignore.
Comment "SAMEAS" and I'll send you the Organization Schema + sameAs Template for Shopify (JSON-LD file).
#EntitySEO #SchemaMarkup #GEO #EcommerceSEO</t>
  </si>
  <si>
    <t xml:space="preserve">#EntitySEO #SchemaMarkup #GEO #EcommerceSEO</t>
  </si>
  <si>
    <t xml:space="preserve">If the web can't agree who you are, AI won't either.
Fix 3 layers:
→ About page with real facts
→ Organization schema on your homepage
→ sameAs links to every official profile
Then use the same name + one-line description everywhere.
Save this for your dev.
Comment "SAMEAS" for the Organization Schema + sameAs Template for Shopify (JSON-LD file).
#entityseo #schemamarkup #structureddata #geo #aisearch #ecommerceseo #shopifyseo #technicalseo #branding #seotips #onlinestore #brandidentity</t>
  </si>
  <si>
    <t xml:space="preserve">#entityseo #schemamarkup #structureddata #geo #aisearch #ecommerceseo #shopifyseo #technicalseo #branding #seotips #onlinestore #brandidentity</t>
  </si>
  <si>
    <t xml:space="preserve">Slide 1: If the web can't agree who you are, AI won't either | Entity consistency in 3 layers | swipe →
Slide 2: Why it matters | AI assistants combine many sources. Conflicting names, descriptions or locations = blurry brand = fewer confident mentions.
Slide 3: Layer 1: About page | Founders, founding year, location, what you make, who for. Facts a journalist could quote.
Slide 4: Skip on the About page | Vague mission statements with no names, dates or products. They give AI nothing to verify.
Slide 5: Layer 2: Organization schema | On the homepage: name, url, logo, description, contactPoint, address if relevant. JSON-LD.
Slide 6: Layer 3: sameAs | List every official profile URL: Instagram, LinkedIn, YouTube, TikTok, Trustpilot, Amazon storefront, Wikidata.
Slide 7: The one-liner rule | Write one 20-word brand description. Paste it on every profile, bio and marketplace listing.
Slide 8: Clean up the past | Old names, old addresses, discontinued ranges on directories. Update or request removal.
Slide 9: Test it | Ask ChatGPT, Gemini and Perplexity: 'Who is [brand]?' Compare answers to your one-liner.
Slide 10: Want the schema template? | Comment SAMEAS and I'll send it | Follow Muhammad Mehrooz Shafique for e-commerce GEO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</si>
  <si>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If the web can't agree who you are, AI won't either | Entity consistency in 3 layers | swipe →
Slide 2: Why it matters | AI assistants combine many sources. Conflicting names, descriptions or locations = blurry brand = fewer confident mentions.
Slide 3: Layer 1: About page | Founders, founding year, location, what you make, who for. Facts a journalist could quote.
Slide 4: Skip on the About page | Vague mission statements with no names, dates or products. They give AI nothing to verify.
Slide 5: Layer 2: Organization schema | On the homepage: name, url, logo, description, contactPoint, address if relevant. JSON-LD.
Slide 6: Layer 3: sameAs | List every official profile URL: Instagram, LinkedIn, YouTube, TikTok, Trustpilot, Amazon storefront, Wikidata.
Slide 7: The one-liner rule | Write one 20-word brand description. Paste it on every profile, bio and marketplace listing.
Slide 8: Clean up the past | Old names, old addresses, discontinued ranges on directories. Update or request removal.
Slide 9: Test it | Ask ChatGPT, Gemini and Perplexity: 'Who is [brand]?' Compare answers to your one-liner.
Slide 10: Want the schema template? | Comment SAMEAS and I'll send it | Follow Muhammad Mehrooz Shafique for e-commerce GEO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</si>
  <si>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If the web can't agree who you are, AI won't either | Entity consistency in 3 layers | swipe →
Slide 2: Why it matters | AI assistants combine many sources. Conflicting names, descriptions or locations = blurry brand = fewer confident mentions.
Slide 3: Layer 1: About page | Founders, founding year, location, what you make, who for. Facts a journalist could quote.
Slide 4: Skip on the About page | Vague mission statements with no names, dates or products. They give AI nothing to verify.
Slide 5: Layer 2: Organization schema | On the homepage: name, url, logo, description, contactPoint, address if relevant. JSON-LD.
Slide 6: Layer 3: sameAs | List every official profile URL: Instagram, LinkedIn, YouTube, TikTok, Trustpilot, Amazon storefront, Wikidata.
Slide 7: The one-liner rule | Write one 20-word brand description. Paste it on every profile, bio and marketplace listing.
Slide 8: Clean up the past | Old names, old addresses, discontinued ranges on directories. Update or request removal.
Slide 9: Test it | Ask ChatGPT, Gemini and Perplexity: 'Who is [brand]?' Compare answers to your one-liner.
Slide 10: Want the schema template? | Comment SAMEAS and I'll send it | Follow Muhammad Mehrooz Shafique for e-commerce GEO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</si>
  <si>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SAMEAS</t>
  </si>
  <si>
    <t xml:space="preserve">Organization Schema + sameAs Template for Shopify (JSON-LD file)</t>
  </si>
  <si>
    <t xml:space="preserve">If the web can't agree who your brand is, AI assistants won't either.
Entity consistency is the cheapest AI search win most stores ignore. 3 layers: #EntitySEO
---
1. About page
Founders, founding year, location, what you make, who it's for. Facts a journalist could quote. Not a mission statement with no names or dates.
---
2. Organization schema on the homepage
name, url, logo, description, contactPoint. JSON-LD. Takes a developer under an hour.
---
3. sameAs
List every official profile: Instagram, LinkedIn, YouTube, TikTok, Trustpilot, Amazon storefront, Wikidata if you have one.
---
Then the one-liner rule: write one 20-word brand description and use it on every profile and marketplace.
Test: ask ChatGPT "Who is [brand]?" and compare. #GEO</t>
  </si>
  <si>
    <t xml:space="preserve">Organization schema + sameAs for e-commerce brands: what I include and why</t>
  </si>
  <si>
    <t xml:space="preserve">I've been tidying up brand entity signals for a few online stores, mainly because AI assistants were describing some of them inconsistently. Sharing the setup in case it's useful.
On the homepage, one Organization JSON-LD block with name, url, logo, a plain description, contactPoint, and address only where it's a real public address. Then sameAs with every official profile: Instagram, LinkedIn, YouTube, TikTok, Trustpilot, the Amazon storefront and Wikidata where one exists.
The schema is the easy part. The bigger effect seems to come from the boring stuff around it:
- An About page with founders, founding year, location and what the brand actually sells
- The same short brand description on every profile and marketplace
- Fixing old directory listings that still show previous names or discontinued ranges
I can't isolate how much schema alone contributes versus the consistency work, so I wouldn't oversell it.
For those who've done this at scale: do you include parentOrganization or brand relationships for multi-brand retailers, and has it made any visible difference?</t>
  </si>
  <si>
    <t xml:space="preserve">Answer-first collection page copy: before and after</t>
  </si>
  <si>
    <t xml:space="preserve">Your category page intro is 150 words of nothing. Rewrite it answer-first.</t>
  </si>
  <si>
    <t xml:space="preserve">answer-first content</t>
  </si>
  <si>
    <t xml:space="preserve">collection page SEO, category page copy, AI Overviews content, writing for AI search, Shopify collection description</t>
  </si>
  <si>
    <t xml:space="preserve">Your category page intro is 150 words of nothing. Rewrite it answer-first.
Most collection pages open like this:
"Welcome to our range of premium yoga mats, crafted with passion for your wellness journey."
AI can't quote that. A shopper can't use it.
Answer-first means the first two sentences answer the question the page exists for:
"Our yoga mats range from 4mm travel mats to 6mm cushioned mats, in natural rubber, cork and TPE. For hot yoga, pick a natural rubber mat with a grip top layer."
Then:
→ A short "how to choose" block (thickness, material, grip)
→ Who each type is for
→ Real FAQs from customer emails and reviews
The image shows the before and after, annotated line by line.
Takeaway: write the sentence you'd want an AI to quote. Put it first.
Comment "ANSWERFIRST" and I'll send you the Answer-First Collection Page Template + 10 Examples (Google Doc).
#GEO #ContentWriting #EcommerceSEO #ShopifySEO</t>
  </si>
  <si>
    <t xml:space="preserve">#GEO #ContentWriting #EcommerceSEO #ShopifySEO</t>
  </si>
  <si>
    <t xml:space="preserve">Your category intro says nothing.
Before: "Premium mats crafted with passion."
After: "4mm–6mm mats in rubber, cork and TPE. For hot yoga, pick rubber with a grip top."
Then add:
→ How to choose
→ Who each type is for
→ Real FAQs
Save this for your next collection rewrite.
Comment "ANSWERFIRST" for the Answer-First Collection Page Template + 10 Examples (Google Doc).
#copywriting #ecommerceseo #aisearch #geo #shopifyseo #collectionpage #contentwriting #seotips #googleaioverviews #onlinestore #ecommercetips #seocontent</t>
  </si>
  <si>
    <t xml:space="preserve">#copywriting #ecommerceseo #aisearch #geo #shopifyseo #collectionpage #contentwriting #seotips #googleaioverviews #onlinestore #ecommercetips #seocontent</t>
  </si>
  <si>
    <t xml:space="preserve">Single image, 1080x1350, annotated before/after. Two stacked panels.
Headline (top): ANSWER-FIRST CATEGORY COPY
Sub-headline: Same page. One version AI can quote.
Top panel labelled 'BEFORE' with red ❌ and faded mock collection page: text 'Welcome to our range of premium yoga mats, crafted with passion for your wellness journey.' Annotations (red callouts): 'No facts' | 'No use case' | 'Nothing to quote'.
Bottom panel labelled 'AFTER' with green ✅: text 'Our yoga mats range from 4mm travel mats to 6mm cushioned mats, in natural rubber, cork and TPE. For hot yoga, pick a natural rubber mat with a grip top layer.' Annotations (green callouts): '1 Range + specs' | '2 Materials' | '3 Direct recommendation by use case'.
Under the after panel, 3 small numbered chips: 1 How to choose block | 2 Who each type is for | 3 Real FAQs from reviews
Footer: Muhammad Mehrooz Shafique | Permanent SEO | Comment 'ANSWERFIRST' for the template.</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</si>
  <si>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"Your category page intro is 150 words of nothing. Rewrite it answer-first."
SUBHEAD: "Answer-first collection page copy: before and after"
MAIN VISUAL: the layout described below containing exactly: 
Single image, 1080x1350, annotated before/after. Two stacked panels.
Headline (top): ANSWER-FIRST CATEGORY COPY
Sub-headline: Same page. One version AI can quote.
Top panel labelled 'BEFORE' with red ❌ and faded mock collection page: text 'Welcome to our range of premium yoga mats, crafted with passion for your wellness journey.' Annotations (red callouts): 'No facts' | 'No use case' | 'Nothing to quote'.
Bottom panel labelled 'AFTER' with green ✅: text 'Our yoga mats range from 4mm travel mats to 6mm cushioned mats, in natural rubber, cork and TPE. For hot yoga, pick a natural rubber mat with a grip top layer.' Annotations (green callouts): '1 Range + specs' | '2 Materials' | '3 Direct recommendation by use case'.
Under the after panel, 3 small numbered chips: 1 How to choose block | 2 Who each type is for | 3 Real FAQs from reviews
Footer: Muhammad Mehrooz Shafique | Permanent SEO | Comment 'ANSWERFIRST' for the template.
CTA BANNER (bottom, navy rounded box, white text, keyword in blue): Comment "ANSWERFIRST" for Answer-First Collection Page Template + 10 Examples (Google Doc)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</si>
  <si>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"Your category page intro is 150 words of nothing. Rewrite it answer-first."
BODY (numbered points / simple visual): the 3–5 key points from this brief, shortened to max 8 words each:
Single image, 1080x1350, annotated before/after. Two stacked panels.
Headline (top): ANSWER-FIRST CATEGORY COPY
Sub-headline: Same page. One version AI can quote.
Top panel labelled 'BEFORE' with red ❌ and faded mock collection page: text 'Welcome to our range of premium yoga mats, crafted with passion for your wellness journey.' Annotations (red callouts): 'No facts' | 'No use case' | 'Nothing to quote'.
Bottom panel labelled 'AFTER' with green ✅: text 'Our yoga mats range from 4mm travel mats to 6mm cushioned mats, in natural rubber, cork and TPE. For hot yoga, pick a natural rubber mat with a grip top layer.' Annotations (green callouts): '1 Range + specs' | '2 Materials' | '3 Direct recommendation by use case'.
Under the after panel, 3 small numbered chips: 1 How to choose block | 2 Who each type is for | 3 Real FAQs from reviews
Footer: Muhammad Mehrooz Shafique | Permanent SEO | Comment 'ANSWERFIRST' for the template.
BOTTOM BAR: Comment "ANSWERFIRST" for Answer-First Collection Page Template + 10 Examples (Google Doc)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</si>
  <si>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ANSWERFIRST</t>
  </si>
  <si>
    <t xml:space="preserve">Answer-First Collection Page Template + 10 Examples (Google Doc)</t>
  </si>
  <si>
    <t xml:space="preserve">"Premium yoga mats crafted with passion" gives AI nothing to quote.
"4mm–6mm mats in rubber, cork and TPE. For hot yoga, pick rubber with a grip top" does.
Write the sentence you want quoted. Put it first. #GEO #EcommerceSEO</t>
  </si>
  <si>
    <t xml:space="preserve">Reviews aren't just for conversion anymore</t>
  </si>
  <si>
    <t xml:space="preserve">We don't treat reviews as social proof. We treat them as data.</t>
  </si>
  <si>
    <t xml:space="preserve">product reviews for AI search</t>
  </si>
  <si>
    <t xml:space="preserve">reviews and GEO, user generated content SEO, review strategy ecommerce, UGC for AI visibility</t>
  </si>
  <si>
    <t xml:space="preserve">We don't treat reviews as social proof. We treat them as data.
Most stores see reviews as a conversion tool. Stars under the price. Done.
But reviews are also full of the exact language buyers use: "good for wide feet", "doesn't pill after washing", "great for small flats".
That's the same language people type into AI assistants.
Three things to check:
→ Are reviews rendered in the page HTML, or loaded by a widget bots may never see?
→ Do you ask buyers specific questions (fit, use case, durability), not just "rate us"?
→ Are you on the third-party review sites AI tends to cite in your category?
And never fake them. Fake reviews are now illegal in both the US and UK.
Takeaway: reviews tell AI who your product is really for.
Comment "REVIEWLOOP" and I'll send you the Post-Purchase Review Request Script Pack (5 emails).
#Reviews #GEO #AISearch #EcommerceSEO</t>
  </si>
  <si>
    <t xml:space="preserve">#Reviews #GEO #AISearch #EcommerceSEO</t>
  </si>
  <si>
    <t xml:space="preserve">Reviews aren't just stars.
They're buyer language AI can read:
"good for wide feet"
"doesn't pill after washing"
Check:
→ Reviews in the HTML, not hidden widgets
→ Ask specific questions post-purchase
→ Be on review sites AI cites
Never fake them.
Share this with your retention team.
Comment "REVIEWLOOP" for the Post-Purchase Review Request Script Pack (5 emails).
#customerreviews #ugc #aisearch #geo #ecommerceseo #reviews #shopifyseo #ecommercetips #trustpilot #onlinestore #retentionmarketing #seotips</t>
  </si>
  <si>
    <t xml:space="preserve">#customerreviews #ugc #aisearch #geo #ecommerceseo #reviews #shopifyseo #ecommercetips #trustpilot #onlinestore #retentionmarketing #seotips</t>
  </si>
  <si>
    <t xml:space="preserve">[0-4s] VO: We don't treat reviews as social proof. | ON-SCREEN: Not social proof. | VISUAL: Star rating fades out under a price tag
[4-6s] VO: We treat them as data. | ON-SCREEN: Data. | VISUAL: Review text turns into highlighted phrases
[6-9s] VO: Most stores stop here. | ON-SCREEN: Most stores stop here. | VISUAL: Product page, 4.8 stars, cursor moves on
[9-10s] VO: Stars. | ON-SCREEN: Stars. | VISUAL: Word alone
[9-10s] VO: Badges. | ON-SCREEN: Badges. | VISUAL: Word alone
[10-11s] VO: Pop-ups. | ON-SCREEN: Pop-ups. | VISUAL: Word alone
[10-15s] VO: But reviews hold the words buyers type into AI. | ON-SCREEN: Buyer words = prompt words | VISUAL: Review phrase 'good for wide feet' morphs into a prompt box
[15-17s] VO: So check three things. | ON-SCREEN: Check 3 things | VISUAL: Counter 1-2-3
[17-20s] VO: Are reviews in the page HTML? | ON-SCREEN: 1. In the HTML? | VISUAL: Code view, review text highlighted
[20-23s] VO: Do you ask specific questions? | ON-SCREEN: 2. Specific questions? | VISUAL: Email: 'How's the fit? What do you use it for?'
[23-26s] VO: Are you on sites AI cites? | ON-SCREEN: 3. On cited sites? | VISUAL: Generic review platform tiles
[26-29s] VO: Without that, reviews stay decoration. | ON-SCREEN: Decoration. | VISUAL: Stars shrink to a corner
[29-32s] VO: Reviews tell AI who you're for. | ON-SCREEN: Reviews tell AI who you're for. | Comment REVIEWLOOP | VISUAL: End card</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</si>
  <si>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[0-4s] VO: We don't treat reviews as social proof. | ON-SCREEN: Not social proof. | VISUAL: Star rating fades out under a price tag
[4-6s] VO: We treat them as data. | ON-SCREEN: Data. | VISUAL: Review text turns into highlighted phrases
[6-9s] VO: Most stores stop here. | ON-SCREEN: Most stores stop here. | VISUAL: Product page, 4.8 stars, cursor moves on
[9-10s] VO: Stars. | ON-SCREEN: Stars. | VISUAL: Word alone
[9-10s] VO: Badges. | ON-SCREEN: Badges. | VISUAL: Word alone
[10-11s] VO: Pop-ups. | ON-SCREEN: Pop-ups. | VISUAL: Word alone
[10-15s] VO: But reviews hold the words buyers type into AI. | ON-SCREEN: Buyer words = prompt words | VISUAL: Review phrase 'good for wide feet' morphs into a prompt box
[15-17s] VO: So check three things. | ON-SCREEN: Check 3 things | VISUAL: Counter 1-2-3
[17-20s] VO: Are reviews in the page HTML? | ON-SCREEN: 1. In the HTML? | VISUAL: Code view, review text highlighted
[20-23s] VO: Do you ask specific questions? | ON-SCREEN: 2. Specific questions? | VISUAL: Email: 'How's the fit? What do you use it for?'
[23-26s] VO: Are you on sites AI cites? | ON-SCREEN: 3. On cited sites? | VISUAL: Generic review platform tiles
[26-29s] VO: Without that, reviews stay decoration. | ON-SCREEN: Decoration. | VISUAL: Stars shrink to a corner
[29-32s] VO: Reviews tell AI who you're for. | ON-SCREEN: Reviews tell AI who you're for. | Comment REVIEWLOOP | VISUAL: End card
Final 3 s: dark/navy end card with Permanent SEO logo, 'SEO for E-commerce Brands' and 'Comment "REVIEWLOOP"'. Burned-in captions. All text spelled exactly as written, sharp and legible on mobile; no extra words, no watermarks.</t>
  </si>
  <si>
    <t xml:space="preserve">REVIEWLOOP</t>
  </si>
  <si>
    <t xml:space="preserve">Post-Purchase Review Request Script Pack (5 emails)</t>
  </si>
  <si>
    <t xml:space="preserve">Reviews hold the exact words buyers type into AI assistants. "Good for wide feet." "Doesn't pill."
Render them in HTML, ask specific post-purchase questions, show up on review sites AI cites. Never fake them. #GEO #EcommerceSEO</t>
  </si>
  <si>
    <t xml:space="preserve">Product Reviews for AI Search: Why Stars Aren't Enough</t>
  </si>
  <si>
    <t xml:space="preserve">Product reviews for AI search do more than lift conversions. Learn why review language helps ChatGPT and AI Overviews understand who your product is for, and three quick checks for your store. #Shorts</t>
  </si>
  <si>
    <t xml:space="preserve">product reviews for AI search, user generated content, review strategy, GEO, ecommerce SEO, ChatGPT recommendations, AI Overviews, Shopify reviews, UGC SEO, customer reviews</t>
  </si>
  <si>
    <t xml:space="preserve">Building 'best for' and comparison pages AI assistants quote</t>
  </si>
  <si>
    <t xml:space="preserve">Buyers ask AI which one is best. Your site never answers.</t>
  </si>
  <si>
    <t xml:space="preserve">comparison pages for ecommerce</t>
  </si>
  <si>
    <t xml:space="preserve">best for pages, product comparison page SEO, vs pages, buying guide SEO, AI search comparison content</t>
  </si>
  <si>
    <t xml:space="preserve">Buyers ask AI which one is best. Your site never answers.
Many shopping prompts are comparisons: "X vs Y", "best for beginners", "best for small spaces". Most stores only have product pages and a blog. Nothing that actually compares.
So the AI quotes someone else's comparison. Often an affiliate site.
What we build for clients instead:
→ "Best for" pages: one use case, a clear pick, the reason, the trade-off
→ Honest vs pages: your product vs the main alternative, including where the alternative wins
→ A comparison table in plain HTML: specs, price, who it suits
→ Links into the product pages and back
Honesty matters here. A comparison where you win every row reads like an ad, to people and to AI.
The video shows the page structure step by step.
Takeaway: if you don't compare your products, someone else will.
Comment "AIPICKS" and I'll send you the 'Best For' and Vs Page Blueprint (Google Doc wireframe).
#GEO #ContentStrategy #EcommerceSEO #AISearch</t>
  </si>
  <si>
    <t xml:space="preserve">#GEO #ContentStrategy #EcommerceSEO #AISearch</t>
  </si>
  <si>
    <t xml:space="preserve">Buyers ask AI "which is best for me?"
Your site never answers.
Build:
→ 'Best for' pages: one use case, one pick, one trade-off
→ Honest vs pages
→ HTML comparison tables
If you win every row, it reads like an ad.
Save this for your next content sprint.
Comment "AIPICKS" for the 'Best For' and Vs Page Blueprint (Google Doc wireframe).
#comparisonpage #buyingguide #aisearch #geo #ecommerceseo #contentstrategy #shopifyseo #seotips #chatgpt #googleaioverviews #onlinestore #ecommercegrowth</t>
  </si>
  <si>
    <t xml:space="preserve">#comparisonpage #buyingguide #aisearch #geo #ecommerceseo #contentstrategy #shopifyseo #seotips #chatgpt #googleaioverviews #onlinestore #ecommercegrowth</t>
  </si>
  <si>
    <t xml:space="preserve">Scene 1 [0-11s] VO: Customer email: "Which one should I get for a small flat?" Hmm. Good question. We don't actually have a page for that. | VISUAL: Founder reading an email on laptop, scratches head
Scene 2 [11-23s] VO: Let's be honest. Your problem isn't the products. It's that buyers ask AI which one is best for them, and your site never answers. | VISUAL: Prompt box: 'best air purifier for a small flat' → answer cites an affiliate site
Scene 3 [23-32s] VO: So the AI quotes someone else's comparison. Usually an affiliate blog that links to your competitor. | VISUAL: Affiliate page mock with competitor link glowing
Scene 4 [32-38s] VO: It's time to build the page they're quoting. Here's the Permanent SEO structure. | VISUAL: Permanent SEO logo transition
Scene 5 [38-48s] VO: Step one. Best for pages. One use case per page. A clear pick, the reason, and the trade-off. | VISUAL: Page wireframe: H1 'Best for small flats', Pick card, 'Why', 'Trade-off'
Scene 6 [48-56s] VO: Step two. Honest versus pages. Your product against the main alternative, including where the alternative wins. | VISUAL: Vs table with one row where competitor column is highlighted
Scene 7 [56-65s] VO: Step three. A comparison table in plain HTML. Specs, price, who it suits. Not an image. Not a script. | VISUAL: Table builds row by row, 'HTML' tag pinned
Scene 8 [65-74s] VO: Step four. Link it all together. Best for pages to products, products back to the guide. | VISUAL: Internal link arrows connecting pages
Scene 9 [74-81s] VO: If you win every row, it reads like an ad. To shoppers and to AI. | VISUAL: Table with all green ticks, 'AD?' stamp
Scene 10 [81-87s] VO: [CLIENT RESULT: comparison pages cited in X of Y test prompts]. | VISUAL: Proof placeholder card
Scene 11 [87-95s] VO: Comment AIPICKS for the page blueprint. Or book a free e-commerce SEO audit with Permanent SEO. | VISUAL: End card</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</si>
  <si>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[0-11s] VO: Customer email: "Which one should I get for a small flat?" Hmm. Good question. We don't actually have a page for that. | VISUAL: Founder reading an email on laptop, scratches head
Scene 2 [11-23s] VO: Let's be honest. Your problem isn't the products. It's that buyers ask AI which one is best for them, and your site never answers. | VISUAL: Prompt box: 'best air purifier for a small flat' → answer cites an affiliate site
Scene 3 [23-32s] VO: So the AI quotes someone else's comparison. Usually an affiliate blog that links to your competitor. | VISUAL: Affiliate page mock with competitor link glowing
Scene 4 [32-38s] VO: It's time to build the page they're quoting. Here's the Permanent SEO structure. | VISUAL: Permanent SEO logo transition
Scene 5 [38-48s] VO: Step one. Best for pages. One use case per page. A clear pick, the reason, and the trade-off. | VISUAL: Page wireframe: H1 'Best for small flats', Pick card, 'Why', 'Trade-off'
Scene 6 [48-56s] VO: Step two. Honest versus pages. Your product against the main alternative, including where the alternative wins. | VISUAL: Vs table with one row where competitor column is highlighted
Scene 7 [56-65s] VO: Step three. A comparison table in plain HTML. Specs, price, who it suits. Not an image. Not a script. | VISUAL: Table builds row by row, 'HTML' tag pinned
Scene 8 [65-74s] VO: Step four. Link it all together. Best for pages to products, products back to the guide. | VISUAL: Internal link arrows connecting pages
Scene 9 [74-81s] VO: If you win every row, it reads like an ad. To shoppers and to AI. | VISUAL: Table with all green ticks, 'AD?' stamp
Scene 10 [81-87s] VO: [CLIENT RESULT: comparison pages cited in X of Y test prompts]. | VISUAL: Proof placeholder card
Scene 11 [87-95s] VO: Comment AIPICKS for the page blueprint. Or book a free e-commerce SEO audit with Permanent SEO. | VISUAL: End card
End card: Permanent SEO logo + 'Comment "AIPICKS"'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</si>
  <si>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[0-11s] VO: Customer email: "Which one should I get for a small flat?" Hmm. Good question. We don't actually have a page for that. | VISUAL: Founder reading an email on laptop, scratches head
Scene 2 [11-23s] VO: Let's be honest. Your problem isn't the products. It's that buyers ask AI which one is best for them, and your site never answers. | VISUAL: Prompt box: 'best air purifier for a small flat' → answer cites an affiliate site
Scene 3 [23-32s] VO: So the AI quotes someone else's comparison. Usually an affiliate blog that links to your competitor. | VISUAL: Affiliate page mock with competitor link glowing
Scene 4 [32-38s] VO: It's time to build the page they're quoting. Here's the Permanent SEO structure. | VISUAL: Permanent SEO logo transition
Scene 5 [38-48s] VO: Step one. Best for pages. One use case per page. A clear pick, the reason, and the trade-off. | VISUAL: Page wireframe: H1 'Best for small flats', Pick card, 'Why', 'Trade-off'
Scene 6 [48-56s] VO: Step two. Honest versus pages. Your product against the main alternative, including where the alternative wins. | VISUAL: Vs table with one row where competitor column is highlighted
Scene 7 [56-65s] VO: Step three. A comparison table in plain HTML. Specs, price, who it suits. Not an image. Not a script. | VISUAL: Table builds row by row, 'HTML' tag pinned
Scene 8 [65-74s] VO: Step four. Link it all together. Best for pages to products, products back to the guide. | VISUAL: Internal link arrows connecting pages
Scene 9 [74-81s] VO: If you win every row, it reads like an ad. To shoppers and to AI. | VISUAL: Table with all green ticks, 'AD?' stamp
Scene 10 [81-87s] VO: [CLIENT RESULT: comparison pages cited in X of Y test prompts]. | VISUAL: Proof placeholder card
Scene 11 [87-95s] VO: Comment AIPICKS for the page blueprint. Or book a free e-commerce SEO audit with Permanent SEO. | VISUAL: End card
Final 3 s: dark/navy end card with Permanent SEO logo, 'SEO for E-commerce Brands' and 'Comment "AIPICKS"'. Burned-in captions. All text spelled exactly as written, sharp and legible on mobile; no extra words, no watermarks.</t>
  </si>
  <si>
    <t xml:space="preserve">AIPICKS</t>
  </si>
  <si>
    <t xml:space="preserve">'Best For' and Vs Page Blueprint (Google Doc wireframe)</t>
  </si>
  <si>
    <t xml:space="preserve">Shoppers ask AI "which is best for me". If your site never compares, AI quotes an affiliate site instead.
Build "best for" pages and honest vs pages with HTML tables. Admit where the alternative wins. #GEO #EcommerceSEO</t>
  </si>
  <si>
    <t xml:space="preserve">Comparison Pages for Ecommerce: Build 'Best For' Pages AI Quotes</t>
  </si>
  <si>
    <t xml:space="preserve">How to build comparison pages for ecommerce that ChatGPT, Perplexity and Google AI Overviews can quote: 'best for' pages, honest vs pages and HTML comparison tables. A practical structure for Shopify and WooCommerce stores.</t>
  </si>
  <si>
    <t xml:space="preserve">comparison pages for ecommerce, best for pages, vs pages SEO, buying guide SEO, GEO, AI search content, ecommerce SEO, Shopify SEO, ChatGPT SEO, Permanent SEO</t>
  </si>
  <si>
    <t xml:space="preserve">Free Product JSON-LD template for Shopify and WooCommerce</t>
  </si>
  <si>
    <t xml:space="preserve">The Product schema fields most stores leave empty. Template inside.</t>
  </si>
  <si>
    <t xml:space="preserve">Product schema for ecommerce</t>
  </si>
  <si>
    <t xml:space="preserve">Product structured data, JSON-LD template Shopify, Offer schema, merchant listing structured data, shipping and returns schema</t>
  </si>
  <si>
    <t xml:space="preserve">The Product schema fields most stores leave empty. Template inside.
Most themes output basic Product schema: name, image, price. That's it.
Google's merchant listing structured data supports a lot more, and every extra field is another clear fact machines can read:
→ brand and gtin (or mpn)
→ offers with price, priceCurrency, availability, itemCondition
→ aggregateRating and review, only from real on-page reviews
→ shippingDetails: cost, regions, delivery time
→ hasMerchantReturnPolicy: return window, method, fees
→ color, size, material on variants
Rules we follow:
✅ Every value must match what's visible on the page
✅ Validate with the Rich Results Test and Schema Markup Validator
❌ No ratings you didn't collect on that product
I'm sharing the exact JSON-LD template we use on client stores, with comments for each field.
Takeaway: schema doesn't make a weak product page strong. It makes a strong one unambiguous.
Comment "PRODUCTLD" and I'll send you the Product + Offer JSON-LD Template with Shipping &amp; Returns (commented code file).
#SchemaMarkup #StructuredData #EcommerceSEO #ShopifySEO</t>
  </si>
  <si>
    <t xml:space="preserve">#SchemaMarkup #StructuredData #EcommerceSEO #ShopifySEO</t>
  </si>
  <si>
    <t xml:space="preserve">Most Product schema stops at name + price.
Add:
→ brand + gtin
→ availability + condition
→ real ratings only
→ shippingDetails
→ hasMerchantReturnPolicy
Rule: every value must match the page.
Save this and send it to your developer.
Comment "PRODUCTLD" for the Product + Offer JSON-LD Template with Shipping &amp; Returns (commented code file).
#schemamarkup #structureddata #jsonld #ecommerceseo #shopifyseo #woocommerce #technicalseo #googleshopping #aisearch #geo #seotips #webdevelopment</t>
  </si>
  <si>
    <t xml:space="preserve">#schemamarkup #structureddata #jsonld #ecommerceseo #shopifyseo #woocommerce #technicalseo #googleshopping #aisearch #geo #seotips #webdevelopment</t>
  </si>
  <si>
    <t xml:space="preserve">Single image, 1080x1350, annotated code screenshot style. Dark code-editor background.
Headline (top, white bold condensed): THE PRODUCT SCHEMA MOST STORES SKIP
Sub-headline: Google merchant listing fields, annotated
Centre: stylised JSON-LD block (readable, not tiny) showing keys: "@type": "Product", "name", "brand", "gtin13", "color", "size", "material", "offers" → "price", "priceCurrency", "availability", "itemCondition", "shippingDetails", "hasMerchantReturnPolicy", "aggregateRating".
Right-side numbered callouts (teal): 1 brand + gtin = exact product match | 2 availability = live stock signal | 3 shippingDetails = cost + delivery time | 4 hasMerchantReturnPolicy = return window | 5 aggregateRating = only real on-page reviews
Bottom rules strip: ✅ Match the visible page | ✅ Validate in Rich Results Test | ❌ No ratings you didn't collect
Banner: Comment 'PRODUCTLD' for the full template.</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</si>
  <si>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"The Product schema fields most stores leave empty. Template inside."
SUBHEAD: "Free Product JSON-LD template for Shopify and WooCommerce"
MAIN VISUAL: the layout described below containing exactly: 
Single image, 1080x1350, annotated code screenshot style. Dark code-editor background.
Headline (top, white bold condensed): THE PRODUCT SCHEMA MOST STORES SKIP
Sub-headline: Google merchant listing fields, annotated
Centre: stylised JSON-LD block (readable, not tiny) showing keys: "@type": "Product", "name", "brand", "gtin13", "color", "size", "material", "offers" → "price", "priceCurrency", "availability", "itemCondition", "shippingDetails", "hasMerchantReturnPolicy", "aggregateRating".
Right-side numbered callouts (teal): 1 brand + gtin = exact product match | 2 availability = live stock signal | 3 shippingDetails = cost + delivery time | 4 hasMerchantReturnPolicy = return window | 5 aggregateRating = only real on-page reviews
Bottom rules strip: ✅ Match the visible page | ✅ Validate in Rich Results Test | ❌ No ratings you didn't collect
Banner: Comment 'PRODUCTLD' for the full template.
CTA BANNER (bottom, navy rounded box, white text, keyword in blue): Comment "PRODUCTLD" for Product + Offer JSON-LD Template with Shipping &amp; Returns (commented code file)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</si>
  <si>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"The Product schema fields most stores leave empty. Template inside."
BODY (numbered points / simple visual): the 3–5 key points from this brief, shortened to max 8 words each:
Single image, 1080x1350, annotated code screenshot style. Dark code-editor background.
Headline (top, white bold condensed): THE PRODUCT SCHEMA MOST STORES SKIP
Sub-headline: Google merchant listing fields, annotated
Centre: stylised JSON-LD block (readable, not tiny) showing keys: "@type": "Product", "name", "brand", "gtin13", "color", "size", "material", "offers" → "price", "priceCurrency", "availability", "itemCondition", "shippingDetails", "hasMerchantReturnPolicy", "aggregateRating".
Right-side numbered callouts (teal): 1 brand + gtin = exact product match | 2 availability = live stock signal | 3 shippingDetails = cost + delivery time | 4 hasMerchantReturnPolicy = return window | 5 aggregateRating = only real on-page reviews
Bottom rules strip: ✅ Match the visible page | ✅ Validate in Rich Results Test | ❌ No ratings you didn't collect
Banner: Comment 'PRODUCTLD' for the full template.
BOTTOM BAR: Comment "PRODUCTLD" for Product + Offer JSON-LD Template with Shipping &amp; Returns (commented code file)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</si>
  <si>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PRODUCTLD</t>
  </si>
  <si>
    <t xml:space="preserve">Product + Offer JSON-LD Template with Shipping &amp; Returns (commented code file)</t>
  </si>
  <si>
    <t xml:space="preserve">Most Product schema stops at name, image, price.
Add brand, gtin, availability, shippingDetails, hasMerchantReturnPolicy and real ratings only. Every value must match the page.
Schema makes a strong product page unambiguous. #SchemaMarkup</t>
  </si>
  <si>
    <t xml:space="preserve">Reddit and YouTube mention playbook for e-commerce brands</t>
  </si>
  <si>
    <t xml:space="preserve">AI keeps citing Reddit and YouTube. Here's how brands show up honestly.</t>
  </si>
  <si>
    <t xml:space="preserve">Reddit marketing for ecommerce brands</t>
  </si>
  <si>
    <t xml:space="preserve">YouTube reviews for brands, brand mentions AI search, community marketing, Reddit SEO, earned mentions</t>
  </si>
  <si>
    <t xml:space="preserve">AI keeps citing Reddit and YouTube. Here's how brands show up honestly.
For a lot of product prompts, the answer leans on real people talking: Reddit threads and YouTube reviews.
The tempting move is fake accounts and planted comments. Don't. Communities spot it fast, moderators ban it, and it can wreck your reputation in exactly the places AI reads.
What works instead:
→ Find the threads AI already cites for your category
→ Join as a clearly labelled brand rep and answer questions, including "we're not the right fit for that"
→ Run an official account that shares useful how-tos, not promos
→ Send products to honest YouTube reviewers with no script
→ Make your own demo and comparison videos with clear titles and chapters
It's slower than a hack. It also lasts.
The carousel lays out the full playbook step by step.
Takeaway: earn the mention. Faked mentions get found.
Comment "REDDITPLAY" and I'll send you the Reddit &amp; YouTube Brand Mention Playbook (PDF + thread tracker).
#RedditMarketing #YouTubeMarketing #GEO #EcommerceMarketing</t>
  </si>
  <si>
    <t xml:space="preserve">#RedditMarketing #YouTubeMarketing #GEO #EcommerceMarketing</t>
  </si>
  <si>
    <t xml:space="preserve">AI cites Reddit and YouTube a lot.
Show up honestly:
→ Find threads AI already cites
→ Answer as a labelled brand rep
→ Share how-tos, not promos
→ Send products to unscripted reviewers
→ Publish your own demo videos
No fake accounts. Ever.
Save this for your next marketing meeting.
Comment "REDDITPLAY" for the Reddit &amp; YouTube Brand Mention Playbook (PDF + thread tracker).
#redditmarketing #youtubemarketing #communitymarketing #aisearch #geo #ecommercemarketing #brandmentions #ugc #shopifyseo #ecommerceseo #contentmarketing #digitalpr</t>
  </si>
  <si>
    <t xml:space="preserve">#redditmarketing #youtubemarketing #communitymarketing #aisearch #geo #ecommercemarketing #brandmentions #ugc #shopifyseo #ecommerceseo #contentmarketing #digitalpr</t>
  </si>
  <si>
    <t xml:space="preserve">Slide 1: AI keeps citing Reddit and YouTube | How e-commerce brands show up honestly | swipe →
Slide 2: Why these two | For many product prompts, AI answers lean on real people talking: threads and video reviews.
Slide 3: Rule zero | No fake accounts, no planted comments, no paid upvotes. Communities and moderators catch it. Your reputation pays.
Slide 4: Step 1: Find cited threads | Run your buyer prompts. Note which Reddit threads and videos get cited for your category.
Slide 5: Step 2: Join as a labelled rep | Flair or bio says you work for the brand. Answer the question. Recommend others when you're not the fit.
Slide 6: Step 3: Useful official account | Care guides, sizing help, honest FAQs. Follow each subreddit's self-promo rules.
Slide 7: Step 4: Unscripted reviewers | Send product to relevant YouTubers. No script, no approval of the verdict. Disclosure required.
Slide 8: Step 5: Your own videos | Demos, comparisons, 'is it worth it'. Clear titles, chapters, captions, description with specs.
Slide 9: Track it | Log threads, videos and whether AI answers mention you month over month. [YOUR PROMPT TEST DATA]
Slide 10: Want the playbook + tracker? | Comment REDDITPLAY and I'll send it | Follow Muhammad Mehrooz Shafique for e-commerce GEO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</si>
  <si>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AI keeps citing Reddit and YouTube | How e-commerce brands show up honestly | swipe →
Slide 2: Why these two | For many product prompts, AI answers lean on real people talking: threads and video reviews.
Slide 3: Rule zero | No fake accounts, no planted comments, no paid upvotes. Communities and moderators catch it. Your reputation pays.
Slide 4: Step 1: Find cited threads | Run your buyer prompts. Note which Reddit threads and videos get cited for your category.
Slide 5: Step 2: Join as a labelled rep | Flair or bio says you work for the brand. Answer the question. Recommend others when you're not the fit.
Slide 6: Step 3: Useful official account | Care guides, sizing help, honest FAQs. Follow each subreddit's self-promo rules.
Slide 7: Step 4: Unscripted reviewers | Send product to relevant YouTubers. No script, no approval of the verdict. Disclosure required.
Slide 8: Step 5: Your own videos | Demos, comparisons, 'is it worth it'. Clear titles, chapters, captions, description with specs.
Slide 9: Track it | Log threads, videos and whether AI answers mention you month over month. [YOUR PROMPT TEST DATA]
Slide 10: Want the playbook + tracker? | Comment REDDITPLAY and I'll send it | Follow Muhammad Mehrooz Shafique for e-commerce GEO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</si>
  <si>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AI keeps citing Reddit and YouTube | How e-commerce brands show up honestly | swipe →
Slide 2: Why these two | For many product prompts, AI answers lean on real people talking: threads and video reviews.
Slide 3: Rule zero | No fake accounts, no planted comments, no paid upvotes. Communities and moderators catch it. Your reputation pays.
Slide 4: Step 1: Find cited threads | Run your buyer prompts. Note which Reddit threads and videos get cited for your category.
Slide 5: Step 2: Join as a labelled rep | Flair or bio says you work for the brand. Answer the question. Recommend others when you're not the fit.
Slide 6: Step 3: Useful official account | Care guides, sizing help, honest FAQs. Follow each subreddit's self-promo rules.
Slide 7: Step 4: Unscripted reviewers | Send product to relevant YouTubers. No script, no approval of the verdict. Disclosure required.
Slide 8: Step 5: Your own videos | Demos, comparisons, 'is it worth it'. Clear titles, chapters, captions, description with specs.
Slide 9: Track it | Log threads, videos and whether AI answers mention you month over month. [YOUR PROMPT TEST DATA]
Slide 10: Want the playbook + tracker? | Comment REDDITPLAY and I'll send it | Follow Muhammad Mehrooz Shafique for e-commerce GEO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</si>
  <si>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REDDITPLAY</t>
  </si>
  <si>
    <t xml:space="preserve">Reddit &amp; YouTube Brand Mention Playbook (PDF + thread tracker)</t>
  </si>
  <si>
    <t xml:space="preserve">AI answers for product prompts lean heavily on real people talking: Reddit threads and YouTube reviews.
Here's how e-commerce brands can show up there honestly. #RedditMarketing
---
Rule zero: no fake accounts, no planted comments, no bought upvotes. Moderators catch it and the backlash lands exactly where AI reads.
---
1. Run your buyer prompts and note which threads and videos get cited.
2. Join those communities as a clearly labelled brand rep. Answer questions. Say when you're not the right fit.
---
3. Run an official account that shares care guides and sizing help, within each sub's rules.
4. Send product to relevant YouTubers with no script and proper disclosure.
---
5. Make your own demo and comparison videos with clear titles, chapters and specs in the description.
Slower than a hack. Lasts longer. #GEO</t>
  </si>
  <si>
    <t xml:space="preserve">r/marketing</t>
  </si>
  <si>
    <t xml:space="preserve">How are e-commerce brands participating on Reddit without being spammy?</t>
  </si>
  <si>
    <t xml:space="preserve">I work with online stores and keep seeing Reddit threads and YouTube reviews show up as sources in AI answers for product questions. That has a lot of brands suddenly interested in Reddit, and some of the ideas floating around (sock-puppet accounts, planted recommendations) are a fast way to get banned and burn trust.
What I've seen work better, slowly:
- Reading the subs properly first, including the self-promotion rules
- Commenting as a clearly identified brand employee, answering the actual question, and pointing people elsewhere when the product isn't a fit
- Sharing genuinely useful stuff (sizing help, care guides, honest FAQs) rather than promos
- Sending products to reviewers on YouTube with no script and proper disclosure
It's not fast and it's hard to measure. The best signal I have is manually checking whether threads and AI answers start mentioning the brand over a few months.
For anyone who has done brand participation on Reddit well, what did the first few months look like, and how did you keep it from feeling like marketing?</t>
  </si>
  <si>
    <t xml:space="preserve">How each AI search surface finds product information</t>
  </si>
  <si>
    <t xml:space="preserve">ChatGPT, AI Mode, Perplexity, Gemini: where each one gets product info.</t>
  </si>
  <si>
    <t xml:space="preserve">AI shopping search engines</t>
  </si>
  <si>
    <t xml:space="preserve">Google AI Mode shopping, ChatGPT shopping, Perplexity shopping, Gemini product search, AI Overviews ecommerce</t>
  </si>
  <si>
    <t xml:space="preserve">ChatGPT, AI Mode, Perplexity, Gemini: where each one gets product info.
Store owners treat "AI search" as one thing. It isn't. Each surface leans on different inputs, so the work to show up differs a little.
Based on what each platform has said publicly:
→ Google AI Overviews and AI Mode: Google's search index plus the Shopping Graph, which Merchant Center feeds into
→ Gemini: Google's index and Google services
→ ChatGPT search: web results via its search crawler, plus merchant product data it has started taking in directly
→ Perplexity: live web retrieval with visible citations, plus shopping features
The common thread: crawlable pages, clean product data and outside mentions help everywhere.
The differences: Merchant Center matters most for Google. Letting OAI-SearchBot and PerplexityBot crawl you matters for those two.
Platforms change fast, so check each one's current docs before big decisions.
Takeaway: one foundation, four surfaces.
Comment "SURFACES" and I'll send you the AI Surfaces Cheat Sheet: inputs, crawlers and setup steps per platform (PDF).
#AISearch #GEO #EcommerceSEO #GoogleAIMode</t>
  </si>
  <si>
    <t xml:space="preserve">#AISearch #GEO #EcommerceSEO #GoogleAIMode</t>
  </si>
  <si>
    <t xml:space="preserve">'AI search' isn't one thing.
→ AI Overviews + AI Mode: Google index + Shopping Graph
→ Gemini: Google index + services
→ ChatGPT: its search crawler + merchant data
→ Perplexity: live web + citations
Common thread: crawlable pages, clean product data, outside mentions.
Save this as your cheat sheet.
Comment "SURFACES" for the AI Surfaces Cheat Sheet: inputs, crawlers and setup steps per platform (PDF).
#aisearch #geo #googleaimode #chatgpt #perplexity #gemini #googleaioverviews #ecommerceseo #shopifyseo #searchmarketing #ecommercetips #onlinestore</t>
  </si>
  <si>
    <t xml:space="preserve">#aisearch #geo #googleaimode #chatgpt #perplexity #gemini #googleaioverviews #ecommerceseo #shopifyseo #searchmarketing #ecommercetips #onlinestore</t>
  </si>
  <si>
    <t xml:space="preserve">Single image, 1080x1350, comparison table. Light grey background, black text, one accent per row.
Headline: WHERE AI GETS YOUR PRODUCT INFO
Sub-headline: 4 surfaces, one foundation (based on public platform statements, early 2027)
Table, 4 columns (Surface | Main inputs | Crawler to allow | Your priority):
Row 1: Google AI Overviews / AI Mode | Google index + Shopping Graph | Googlebot | Merchant Center feed + Product schema
Row 2: Gemini | Google index + Google services | Googlebot | Same as Google + entity consistency
Row 3: ChatGPT search | Web results + merchant product data | OAI-SearchBot | Allow crawler + clean product data
Row 4: Perplexity | Live web retrieval, cited sources | PerplexityBot | Allow crawler + outside mentions
Bottom bar: 'Works everywhere → crawlable HTML · clean product data · reviews &amp; mentions'
Small disclaimer line: 'Platforms change often. Check current docs.'
Footer: Muhammad Mehrooz Shafique | Permanent SEO | Comment 'SURFACES' for the cheat sheet.</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</si>
  <si>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"ChatGPT, AI Mode, Perplexity, Gemini: where each one gets product info."
SUBHEAD: "How each AI search surface finds product information"
MAIN VISUAL: the layout described below containing exactly: 
Single image, 1080x1350, comparison table. Light grey background, black text, one accent per row.
Headline: WHERE AI GETS YOUR PRODUCT INFO
Sub-headline: 4 surfaces, one foundation (based on public platform statements, early 2027)
Table, 4 columns (Surface | Main inputs | Crawler to allow | Your priority):
Row 1: Google AI Overviews / AI Mode | Google index + Shopping Graph | Googlebot | Merchant Center feed + Product schema
Row 2: Gemini | Google index + Google services | Googlebot | Same as Google + entity consistency
Row 3: ChatGPT search | Web results + merchant product data | OAI-SearchBot | Allow crawler + clean product data
Row 4: Perplexity | Live web retrieval, cited sources | PerplexityBot | Allow crawler + outside mentions
Bottom bar: 'Works everywhere → crawlable HTML · clean product data · reviews &amp; mentions'
Small disclaimer line: 'Platforms change often. Check current docs.'
Footer: Muhammad Mehrooz Shafique | Permanent SEO | Comment 'SURFACES' for the cheat sheet.
CTA BANNER (bottom, navy rounded box, white text, keyword in blue): Comment "SURFACES" for AI Surfaces Cheat Sheet: inputs, crawlers and setup steps per platform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</si>
  <si>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"ChatGPT, AI Mode, Perplexity, Gemini: where each one gets product info."
BODY (numbered points / simple visual): the 3–5 key points from this brief, shortened to max 8 words each:
Single image, 1080x1350, comparison table. Light grey background, black text, one accent per row.
Headline: WHERE AI GETS YOUR PRODUCT INFO
Sub-headline: 4 surfaces, one foundation (based on public platform statements, early 2027)
Table, 4 columns (Surface | Main inputs | Crawler to allow | Your priority):
Row 1: Google AI Overviews / AI Mode | Google index + Shopping Graph | Googlebot | Merchant Center feed + Product schema
Row 2: Gemini | Google index + Google services | Googlebot | Same as Google + entity consistency
Row 3: ChatGPT search | Web results + merchant product data | OAI-SearchBot | Allow crawler + clean product data
Row 4: Perplexity | Live web retrieval, cited sources | PerplexityBot | Allow crawler + outside mentions
Bottom bar: 'Works everywhere → crawlable HTML · clean product data · reviews &amp; mentions'
Small disclaimer line: 'Platforms change often. Check current docs.'
Footer: Muhammad Mehrooz Shafique | Permanent SEO | Comment 'SURFACES' for the cheat sheet.
BOTTOM BAR: Comment "SURFACES" for AI Surfaces Cheat Sheet: inputs, crawlers and setup steps per platform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</si>
  <si>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SURFACES</t>
  </si>
  <si>
    <t xml:space="preserve">AI Surfaces Cheat Sheet: inputs, crawlers and setup steps per platform (PDF)</t>
  </si>
  <si>
    <t xml:space="preserve">"AI search" isn't one thing.
AI Overviews/AI Mode: Google index + Shopping Graph.
ChatGPT: OAI-SearchBot + merchant data.
Perplexity: live web + citations.
Common thread: crawlable pages, clean product data, mentions. #AISearch #GEO</t>
  </si>
  <si>
    <t xml:space="preserve">AI search didn't kill SEO. It raised the bar.</t>
  </si>
  <si>
    <t xml:space="preserve">We don't abandon SEO for AI. We build AI on SEO.</t>
  </si>
  <si>
    <t xml:space="preserve">is SEO dead because of AI</t>
  </si>
  <si>
    <t xml:space="preserve">SEO vs GEO, AI search and SEO, future of ecommerce SEO, AI Overviews impact on SEO</t>
  </si>
  <si>
    <t xml:space="preserve">We don't abandon SEO for AI. We build AI on SEO.
"SEO is dead, it's all AI now" is the most expensive myth I hear from store owners.
Here's what AI assistants with web search actually need from you:
→ Pages they can crawl
→ Content they can understand
→ Signals they can trust
That list is technical SEO, on-page SEO and authority. The same three things we've been fixing for years.
What's changed is the bar. Thin category pages and copied product descriptions might still scrape a ranking. They rarely get quoted in an answer.
So don't fire your SEO and hire a "GEO" agency that skips the foundations. Do the foundations properly, then add the citation layer.
Takeaway: GEO without SEO is a roof without a house.
Comment "STILLSEO" and I'll send you the SEO Foundations for AI Search Audit Sheet (40 checks).
#SEO #GEO #AISearch #EcommerceSEO</t>
  </si>
  <si>
    <t xml:space="preserve">#SEO #GEO #AISearch #EcommerceSEO</t>
  </si>
  <si>
    <t xml:space="preserve">AI didn't kill SEO.
AI search needs:
→ Pages it can crawl
→ Content it can understand
→ Signals it can trust
That's technical SEO, on-page SEO and authority.
The bar just got higher.
Share this with someone who thinks SEO is dead.
Comment "STILLSEO" for the SEO Foundations for AI Search Audit Sheet (40 checks).
#seo #seoisnotdead #geo #aisearch #ecommerceseo #seomyths #technicalseo #shopifyseo #digitalmarketing #seotips #onlinestore #searchengineoptimization</t>
  </si>
  <si>
    <t xml:space="preserve">#seo #seoisnotdead #geo #aisearch #ecommerceseo #seomyths #technicalseo #shopifyseo #digitalmarketing #seotips #onlinestore #searchengineoptimization</t>
  </si>
  <si>
    <t xml:space="preserve">[0-3s] VO: We don't abandon SEO for AI. | ON-SCREEN: We don't abandon SEO. | VISUAL: 'SEO' text cracks, then reassembles
[3-6s] VO: We build AI on SEO. | ON-SCREEN: We build on it. | VISUAL: Building blocks stack: SEO base, AI on top
[6-8s] VO: Most AI conversations begin here. | ON-SCREEN: Most AI talk begins here. | VISUAL: Headlines flash: 'SEO IS DEAD'
[8-9s] VO: Panic. | ON-SCREEN: Panic. | VISUAL: Word alone
[9-10s] VO: Pivots. | ON-SCREEN: Pivots. | VISUAL: Word alone
[9-10s] VO: New agencies. | ON-SCREEN: New agencies. | VISUAL: Word alone
[10-15s] VO: But AI search needs three things from you. | ON-SCREEN: 3 things | VISUAL: Counter 1-2-3
[15-17s] VO: Pages it can crawl. | ON-SCREEN: 1. Crawl | VISUAL: Bot icon moving through site map
[17-19s] VO: Content it can understand. | ON-SCREEN: 2. Understand | VISUAL: Product page text highlighting
[19-21s] VO: Signals it can trust. | ON-SCREEN: 3. Trust | VISUAL: Reviews, links, mentions converge
[21-25s] VO: That's SEO. Just held to a higher bar. | ON-SCREEN: That's SEO. Higher bar. | VISUAL: Bar rises on screen
[25-30s] VO: Thin pages still rank sometimes. They rarely get quoted. | ON-SCREEN: Ranked ≠ quoted | VISUAL: Page in results, missing from AI answer
[30-32s] VO: Foundations first. Then citations. | ON-SCREEN: Foundations first. | Comment STILLSEO | VISUAL: End card</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</si>
  <si>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[0-3s] VO: We don't abandon SEO for AI. | ON-SCREEN: We don't abandon SEO. | VISUAL: 'SEO' text cracks, then reassembles
[3-6s] VO: We build AI on SEO. | ON-SCREEN: We build on it. | VISUAL: Building blocks stack: SEO base, AI on top
[6-8s] VO: Most AI conversations begin here. | ON-SCREEN: Most AI talk begins here. | VISUAL: Headlines flash: 'SEO IS DEAD'
[8-9s] VO: Panic. | ON-SCREEN: Panic. | VISUAL: Word alone
[9-10s] VO: Pivots. | ON-SCREEN: Pivots. | VISUAL: Word alone
[9-10s] VO: New agencies. | ON-SCREEN: New agencies. | VISUAL: Word alone
[10-15s] VO: But AI search needs three things from you. | ON-SCREEN: 3 things | VISUAL: Counter 1-2-3
[15-17s] VO: Pages it can crawl. | ON-SCREEN: 1. Crawl | VISUAL: Bot icon moving through site map
[17-19s] VO: Content it can understand. | ON-SCREEN: 2. Understand | VISUAL: Product page text highlighting
[19-21s] VO: Signals it can trust. | ON-SCREEN: 3. Trust | VISUAL: Reviews, links, mentions converge
[21-25s] VO: That's SEO. Just held to a higher bar. | ON-SCREEN: That's SEO. Higher bar. | VISUAL: Bar rises on screen
[25-30s] VO: Thin pages still rank sometimes. They rarely get quoted. | ON-SCREEN: Ranked ≠ quoted | VISUAL: Page in results, missing from AI answer
[30-32s] VO: Foundations first. Then citations. | ON-SCREEN: Foundations first. | Comment STILLSEO | VISUAL: End card
Final 3 s: dark/navy end card with Permanent SEO logo, 'SEO for E-commerce Brands' and 'Comment "STILLSEO"'. Burned-in captions. All text spelled exactly as written, sharp and legible on mobile; no extra words, no watermarks.</t>
  </si>
  <si>
    <t xml:space="preserve">STILLSEO</t>
  </si>
  <si>
    <t xml:space="preserve">SEO Foundations for AI Search Audit Sheet (40 checks)</t>
  </si>
  <si>
    <t xml:space="preserve">AI search with web retrieval needs pages it can crawl, content it can understand, signals it can trust.
That's technical SEO, on-page SEO and authority. AI didn't kill SEO. It raised the bar. #SEO #GEO</t>
  </si>
  <si>
    <t xml:space="preserve">Is SEO Dead Because of AI? What AI Search Actually Needs</t>
  </si>
  <si>
    <t xml:space="preserve">Is SEO dead because of AI? No. AI search engines like ChatGPT and Google AI Overviews still need crawlable, clear, trusted pages. Here's why SEO is the foundation of GEO for e-commerce stores. #Shorts</t>
  </si>
  <si>
    <t xml:space="preserve">is SEO dead because of AI, SEO vs GEO, AI search, generative engine optimization, ecommerce SEO, AI Overviews, ChatGPT SEO, technical SEO, SEO myths, Shopify SEO</t>
  </si>
  <si>
    <t xml:space="preserve">Let AI crawlers in: robots.txt and rendering checks for stores</t>
  </si>
  <si>
    <t xml:space="preserve">Your robots.txt might be blocking the AI that would recommend you.</t>
  </si>
  <si>
    <t xml:space="preserve">AI crawlers robots.txt</t>
  </si>
  <si>
    <t xml:space="preserve">OAI-SearchBot, PerplexityBot, GPTBot vs OAI-SearchBot, Google-Extended, JavaScript rendering AI crawlers</t>
  </si>
  <si>
    <t xml:space="preserve">Your robots.txt might be blocking the AI that would recommend you.
We audit a lot of stores where someone copied a "block all AI bots" snippet. Fair concern about training. But it often blocks the search crawlers too.
Know the difference:
→ GPTBot: OpenAI's training crawler
→ OAI-SearchBot: used for ChatGPT search results
→ PerplexityBot: Perplexity's search crawler
→ Google-Extended: controls Gemini training and grounding. Google says it doesn't affect Search or AI Overviews, which use Googlebot
You can block training and still allow search. That's a business decision, so make it on purpose.
Second check: rendering. Many AI crawlers don't run JavaScript reliably. If price, stock or reviews only appear after scripts load, they may see an empty page.
Test by viewing your page source, not the rendered page.
Takeaway: decide who gets in. Then make sure they can read what they find.
Comment "BOTACCESS" and I'll send you the AI Crawler Access Checklist + robots.txt Examples for Shopify &amp; WooCommerce (PDF).
#TechnicalSEO #AISearch #GEO #EcommerceSEO</t>
  </si>
  <si>
    <t xml:space="preserve">#TechnicalSEO #AISearch #GEO #EcommerceSEO</t>
  </si>
  <si>
    <t xml:space="preserve">Your robots.txt may be blocking AI search.
→ GPTBot = training
→ OAI-SearchBot = ChatGPT search
→ PerplexityBot = Perplexity search
→ Google-Extended doesn't affect AI Overviews
Block training, allow search, if that's your call.
Then check: is price and stock in the page source?
Save this for your developer.
Comment "BOTACCESS" for the AI Crawler Access Checklist + robots.txt Examples for Shopify &amp; WooCommerce (PDF).
#technicalseo #robotstxt #aicrawlers #aisearch #geo #ecommerceseo #shopifyseo #woocommerce #chatgpt #perplexity #webdevelopment #seotips</t>
  </si>
  <si>
    <t xml:space="preserve">#technicalseo #robotstxt #aicrawlers #aisearch #geo #ecommerceseo #shopifyseo #woocommerce #chatgpt #perplexity #webdevelopment #seotips</t>
  </si>
  <si>
    <t xml:space="preserve">Scene 1 [0-8s] VO: Dev message: "Blocked all the AI bots, like you asked." Wait. All of them? Hmm. | VISUAL: Founder reads Slack-style message, pauses, looks at camera
Scene 2 [8-21s] VO: Let's be honest. Your problem might not be content at all. It might be that the AI that would recommend you can't get in. | VISUAL: Closed gate icon in front of a store page
Scene 3 [21-29s] VO: A copied block-all snippet stops training bots. It often stops ChatGPT and Perplexity search crawlers too. | VISUAL: robots.txt lines with 'Disallow: /' highlighted in red
Scene 4 [29-35s] VO: Here's the check we run on every Permanent SEO audit. | VISUAL: Permanent SEO logo transition
Scene 5 [35-43s] VO: Step one. Know the bots. GPTBot is OpenAI training. OAI-SearchBot powers ChatGPT search. PerplexityBot powers Perplexity. | VISUAL: Three labelled bot cards
Scene 6 [43-51s] VO: Google-Extended covers Gemini training and grounding. Google says AI Overviews use Googlebot, not Google-Extended. | VISUAL: Google card with two labelled lanes
Scene 7 [51-60s] VO: Step two. Decide on purpose. You can block training and still allow search. That's a business call. | VISUAL: robots.txt example: GPTBot Disallow, OAI-SearchBot Allow
Scene 8 [60-71s] VO: Step three. Check rendering. Many AI crawlers don't run JavaScript reliably. View page source. Is price, stock and review text there? | VISUAL: Side by side: rendered page vs raw source with gaps
Scene 9 [71-80s] VO: Step four. Check server logs or your CDN to confirm the bots you allowed are actually visiting. | VISUAL: Log lines scroll, bot names highlighted
Scene 10 [80-85s] VO: [CLIENT RESULT: AI crawler visits up X after robots fix]. | VISUAL: Proof placeholder card
Scene 11 [85-95s] VO: Comment BOTACCESS for the checklist and robots examples. Or book a free e-commerce SEO audit with Permanent SEO. | VISUAL: End card</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</si>
  <si>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Dev message: "Blocked all the AI bots, like you asked." Wait. All of them? Hmm. | VISUAL: Founder reads Slack-style message, pauses, looks at camera
Scene 2 [8-21s] VO: Let's be honest. Your problem might not be content at all. It might be that the AI that would recommend you can't get in. | VISUAL: Closed gate icon in front of a store page
Scene 3 [21-29s] VO: A copied block-all snippet stops training bots. It often stops ChatGPT and Perplexity search crawlers too. | VISUAL: robots.txt lines with 'Disallow: /' highlighted in red
Scene 4 [29-35s] VO: Here's the check we run on every Permanent SEO audit. | VISUAL: Permanent SEO logo transition
Scene 5 [35-43s] VO: Step one. Know the bots. GPTBot is OpenAI training. OAI-SearchBot powers ChatGPT search. PerplexityBot powers Perplexity. | VISUAL: Three labelled bot cards
Scene 6 [43-51s] VO: Google-Extended covers Gemini training and grounding. Google says AI Overviews use Googlebot, not Google-Extended. | VISUAL: Google card with two labelled lanes
Scene 7 [51-60s] VO: Step two. Decide on purpose. You can block training and still allow search. That's a business call. | VISUAL: robots.txt example: GPTBot Disallow, OAI-SearchBot Allow
Scene 8 [60-71s] VO: Step three. Check rendering. Many AI crawlers don't run JavaScript reliably. View page source. Is price, stock and review text there? | VISUAL: Side by side: rendered page vs raw source with gaps
Scene 9 [71-80s] VO: Step four. Check server logs or your CDN to confirm the bots you allowed are actually visiting. | VISUAL: Log lines scroll, bot names highlighted
Scene 10 [80-85s] VO: [CLIENT RESULT: AI crawler visits up X after robots fix]. | VISUAL: Proof placeholder card
Scene 11 [85-95s] VO: Comment BOTACCESS for the checklist and robots examples. Or book a free e-commerce SEO audit with Permanent SEO. | VISUAL: End card
End card: Permanent SEO logo + 'Comment "BOTACCESS"'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</si>
  <si>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Dev message: "Blocked all the AI bots, like you asked." Wait. All of them? Hmm. | VISUAL: Founder reads Slack-style message, pauses, looks at camera
Scene 2 [8-21s] VO: Let's be honest. Your problem might not be content at all. It might be that the AI that would recommend you can't get in. | VISUAL: Closed gate icon in front of a store page
Scene 3 [21-29s] VO: A copied block-all snippet stops training bots. It often stops ChatGPT and Perplexity search crawlers too. | VISUAL: robots.txt lines with 'Disallow: /' highlighted in red
Scene 4 [29-35s] VO: Here's the check we run on every Permanent SEO audit. | VISUAL: Permanent SEO logo transition
Scene 5 [35-43s] VO: Step one. Know the bots. GPTBot is OpenAI training. OAI-SearchBot powers ChatGPT search. PerplexityBot powers Perplexity. | VISUAL: Three labelled bot cards
Scene 6 [43-51s] VO: Google-Extended covers Gemini training and grounding. Google says AI Overviews use Googlebot, not Google-Extended. | VISUAL: Google card with two labelled lanes
Scene 7 [51-60s] VO: Step two. Decide on purpose. You can block training and still allow search. That's a business call. | VISUAL: robots.txt example: GPTBot Disallow, OAI-SearchBot Allow
Scene 8 [60-71s] VO: Step three. Check rendering. Many AI crawlers don't run JavaScript reliably. View page source. Is price, stock and review text there? | VISUAL: Side by side: rendered page vs raw source with gaps
Scene 9 [71-80s] VO: Step four. Check server logs or your CDN to confirm the bots you allowed are actually visiting. | VISUAL: Log lines scroll, bot names highlighted
Scene 10 [80-85s] VO: [CLIENT RESULT: AI crawler visits up X after robots fix]. | VISUAL: Proof placeholder card
Scene 11 [85-95s] VO: Comment BOTACCESS for the checklist and robots examples. Or book a free e-commerce SEO audit with Permanent SEO. | VISUAL: End card
Final 3 s: dark/navy end card with Permanent SEO logo, 'SEO for E-commerce Brands' and 'Comment "BOTACCESS"'. Burned-in captions. All text spelled exactly as written, sharp and legible on mobile; no extra words, no watermarks.</t>
  </si>
  <si>
    <t xml:space="preserve">BOTACCESS</t>
  </si>
  <si>
    <t xml:space="preserve">AI Crawler Access Checklist + robots.txt Examples for Shopify &amp; WooCommerce (PDF)</t>
  </si>
  <si>
    <t xml:space="preserve">GPTBot = OpenAI training. OAI-SearchBot = ChatGPT search. PerplexityBot = Perplexity search.
A copied "block all AI" snippet often kills the search ones too. Decide on purpose. Then check price and stock are in page source. #TechnicalSEO</t>
  </si>
  <si>
    <t xml:space="preserve">AI Crawlers robots.txt: Don't Block the Bots That Recommend You</t>
  </si>
  <si>
    <t xml:space="preserve">A practical guide to AI crawlers and robots.txt for e-commerce: GPTBot vs OAI-SearchBot, PerplexityBot, Google-Extended, and why JavaScript rendering decides what AI search can read on your product pages.</t>
  </si>
  <si>
    <t xml:space="preserve">AI crawlers robots.txt, OAI-SearchBot, GPTBot, PerplexityBot, Google-Extended, technical SEO, ecommerce SEO, GEO, JavaScript SEO, Permanent SEO</t>
  </si>
  <si>
    <t xml:space="preserve">Case study: from unmentioned to recommended in AI answers</t>
  </si>
  <si>
    <t xml:space="preserve">Zero AI mentions to [X] in [Y] months. Here's the work.</t>
  </si>
  <si>
    <t xml:space="preserve">get recommended by ChatGPT</t>
  </si>
  <si>
    <t xml:space="preserve">AI visibility case study, GEO results ecommerce, AI search case study, brand mentions growth</t>
  </si>
  <si>
    <t xml:space="preserve">Zero AI mentions to [X] in [Y] months. Here's the work.
[Client: US supplements store]. Good products, decent rankings. In our first prompt test, they appeared in [0 of 40] buyer prompts across ChatGPT, Perplexity, Gemini and AI Mode.
What we changed, in this order:
1. Technical access: unblocked OAI-SearchBot and PerplexityBot, moved key product facts out of JS tabs
2. Product pages rewritten answer-first: who it's for, dosage, ingredients, what it's not for
3. Product schema and Merchant Center feed completed and matched to the pages
4. Three honest comparison pages for the main buying questions
5. Review requests asking specific questions, plus outreach to two category review sites AI already cited
No AI-written page spam. No fake reviews.
Result: [CLIENT RESULT: mentioned in X of 40 prompts, AI referral revenue +Y%].
Takeaway: AI visibility is a stack of ordinary fixes done in the right order.
Comment "MENTIONED" and I'll send you the AI Visibility Sprint Plan used in this case study (Google Sheet).
#CaseStudy #GEO #AISearch #EcommerceSEO</t>
  </si>
  <si>
    <t xml:space="preserve">#CaseStudy #GEO #AISearch #EcommerceSEO</t>
  </si>
  <si>
    <t xml:space="preserve">0 AI mentions → [X] in [Y] months.
[Client: US supplements store]
The order:
1. Let AI crawlers in
2. Answer-first product pages
3. Schema + feed matched
4. Honest comparison pages
5. Reviews + cited review sites
No spam. No fake reviews.
Save this as your roadmap.
Comment "MENTIONED" for the AI Visibility Sprint Plan used in this case study (Google Sheet).
#casestudy #geo #aisearch #ecommerceseo #supplementbrand #chatgpt #perplexity #seoresults #shopifyseo #ecommercegrowth #onlinestore #digitalmarketing</t>
  </si>
  <si>
    <t xml:space="preserve">#casestudy #geo #aisearch #ecommerceseo #supplementbrand #chatgpt #perplexity #seoresults #shopifyseo #ecommercegrowth #onlinestore #digitalmarketing</t>
  </si>
  <si>
    <t xml:space="preserve">Single image, 1080x1350, result breakdown. White background, navy text, green accent for results.
Top label: CASE STUDY
Headline: FROM UNMENTIONED TO RECOMMENDED
Sub-headline: [Client: US supplements store] | [Y] months
Big before/after number block: BEFORE [0/40 prompts] → AFTER [X/40 prompts]
Numbered vertical timeline, 5 steps:
1 Technical access: AI search crawlers allowed, facts out of JS tabs
2 Answer-first product pages
3 Product schema + Merchant Center feed matched to pages
4 3 honest comparison pages
5 Specific review requests + outreach to cited review sites
Side note box: '❌ No AI page spam  ❌ No fake reviews'
Result strip: [CLIENT RESULT: AI referral revenue +Y%]
Footer: Muhammad Mehrooz Shafique | Permanent SEO | Comment 'MENTIONED' for the sprint plan.</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</si>
  <si>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"Zero AI mentions to [X] in [Y] months. Here's the work."
SUBHEAD: "Case study: from unmentioned to recommended in AI answers"
MAIN VISUAL: the layout described below containing exactly: 
Single image, 1080x1350, result breakdown. White background, navy text, green accent for results.
Top label: CASE STUDY
Headline: FROM UNMENTIONED TO RECOMMENDED
Sub-headline: [Client: US supplements store] | [Y] months
Big before/after number block: BEFORE [0/40 prompts] → AFTER [X/40 prompts]
Numbered vertical timeline, 5 steps:
1 Technical access: AI search crawlers allowed, facts out of JS tabs
2 Answer-first product pages
3 Product schema + Merchant Center feed matched to pages
4 3 honest comparison pages
5 Specific review requests + outreach to cited review sites
Side note box: '❌ No AI page spam  ❌ No fake reviews'
Result strip: [CLIENT RESULT: AI referral revenue +Y%]
Footer: Muhammad Mehrooz Shafique | Permanent SEO | Comment 'MENTIONED' for the sprint plan.
CTA BANNER (bottom, navy rounded box, white text, keyword in blue): Comment "MENTIONED" for AI Visibility Sprint Plan used in this case study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</si>
  <si>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"Zero AI mentions to [X] in [Y] months. Here's the work."
BODY (numbered points / simple visual): the 3–5 key points from this brief, shortened to max 8 words each:
Single image, 1080x1350, result breakdown. White background, navy text, green accent for results.
Top label: CASE STUDY
Headline: FROM UNMENTIONED TO RECOMMENDED
Sub-headline: [Client: US supplements store] | [Y] months
Big before/after number block: BEFORE [0/40 prompts] → AFTER [X/40 prompts]
Numbered vertical timeline, 5 steps:
1 Technical access: AI search crawlers allowed, facts out of JS tabs
2 Answer-first product pages
3 Product schema + Merchant Center feed matched to pages
4 3 honest comparison pages
5 Specific review requests + outreach to cited review sites
Side note box: '❌ No AI page spam  ❌ No fake reviews'
Result strip: [CLIENT RESULT: AI referral revenue +Y%]
Footer: Muhammad Mehrooz Shafique | Permanent SEO | Comment 'MENTIONED' for the sprint plan.
BOTTOM BAR: Comment "MENTIONED" for AI Visibility Sprint Plan used in this case study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</si>
  <si>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MENTIONED</t>
  </si>
  <si>
    <t xml:space="preserve">AI Visibility Sprint Plan used in this case study (Google Sheet)</t>
  </si>
  <si>
    <t xml:space="preserve">Supplements store, [0/40] buyer prompts mentioning them.
Fixed in order: crawler access, answer-first pages, schema + feed, honest comparison pages, reviews + cited review sites.
Result: [CLIENT RESULT]. No spam. #GEO #CaseStudy</t>
  </si>
  <si>
    <t xml:space="preserve">30-day AI search action plan for Shopify stores</t>
  </si>
  <si>
    <t xml:space="preserve">30 days, 4 weeks, one plan to get your store AI-ready.</t>
  </si>
  <si>
    <t xml:space="preserve">GEO strategy for Shopify</t>
  </si>
  <si>
    <t xml:space="preserve">AI search action plan, Shopify AI visibility, ecommerce GEO checklist, ChatGPT optimization plan</t>
  </si>
  <si>
    <t xml:space="preserve">30 days, 4 weeks, one plan to get your store AI-ready.
This month I've covered a lot of AI search pieces. Here's how we put them in order for a typical Shopify store.
Week 1: Measure and unblock
→ Prompt test 30–50 buyer prompts
→ GA4 AI Assistants channel group
→ robots.txt and rendering checks
Week 2: Product data
→ Product schema completed
→ Merchant Center feed fixed and matched
Week 3: Pages
→ Top 20 product and collection pages rewritten answer-first
→ 2–3 honest comparison or "best for" pages
Week 4: Entity and mentions
→ About page, Organization schema, sameAs
→ Review requests and first outreach to cited sites
Then re-run the same prompts and compare.
The carousel gives the daily task list for each week.
Takeaway: foundations, then pages, then proof. In that order.
Comment "GEOPLAN" and I'll send you the 30-Day AI Search Action Plan for Shopify (Notion/Sheet task board).
#GEO #ShopifySEO #AISearch #EcommerceSEO</t>
  </si>
  <si>
    <t xml:space="preserve">#GEO #ShopifySEO #AISearch #EcommerceSEO</t>
  </si>
  <si>
    <t xml:space="preserve">Your 30-day AI search plan:
Week 1 → Prompt test, GA4 tracking, crawler checks
Week 2 → Product schema + feed
Week 3 → Answer-first pages + comparisons
Week 4 → Entity cleanup + reviews
Then re-test the same prompts.
Save this and start Monday.
Comment "GEOPLAN" for the 30-Day AI Search Action Plan for Shopify (Notion/Sheet task board).
#shopifyseo #geo #aisearch #ecommerceseo #shopifystore #seoplan #chatgpt #googleaioverviews #ecommercetips #onlinestore #smallbusiness #seotips</t>
  </si>
  <si>
    <t xml:space="preserve">#shopifyseo #geo #aisearch #ecommerceseo #shopifystore #seoplan #chatgpt #googleaioverviews #ecommercetips #onlinestore #smallbusiness #seotips</t>
  </si>
  <si>
    <t xml:space="preserve">Slide 1: 30 days to an AI-ready store | A week-by-week GEO plan for Shopify | swipe →
Slide 2: The order matters | Measure → unblock → product data → pages → entity → mentions. Skipping ahead wastes effort.
Slide 3: Week 1: Measure | Run 30–50 buyer prompts in ChatGPT, Perplexity, Gemini, AI Mode. Log mentions, accuracy, sources.
Slide 4: Week 1: Unblock | GA4 'AI Assistants' channel group. robots.txt review for OAI-SearchBot, PerplexityBot. Page-source check.
Slide 5: Week 2: Product data | Complete Product schema (brand, gtin, offers, shipping, returns). Fix Merchant Center errors and attributes.
Slide 6: Week 3: Pages | Rewrite top 20 product + collection pages answer-first. Build 2–3 honest 'best for' / vs pages.
Slide 7: Week 4: Entity | Fact-based About page. Organization schema with sameAs. One brand description everywhere.
Slide 8: Week 4: Mentions | Specific review requests. Outreach to 3–5 sites AI already cites in your category.
Slide 9: Day 30: Re-test | Same prompts, same assistants. Compare to week 1. [YOUR BEFORE/AFTER DATA]
Slide 10: Want the task board? | Comment GEOPLAN and I'll send it | Follow Muhammad Mehrooz Shafique for e-commerce GEO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</si>
  <si>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30 days to an AI-ready store | A week-by-week GEO plan for Shopify | swipe →
Slide 2: The order matters | Measure → unblock → product data → pages → entity → mentions. Skipping ahead wastes effort.
Slide 3: Week 1: Measure | Run 30–50 buyer prompts in ChatGPT, Perplexity, Gemini, AI Mode. Log mentions, accuracy, sources.
Slide 4: Week 1: Unblock | GA4 'AI Assistants' channel group. robots.txt review for OAI-SearchBot, PerplexityBot. Page-source check.
Slide 5: Week 2: Product data | Complete Product schema (brand, gtin, offers, shipping, returns). Fix Merchant Center errors and attributes.
Slide 6: Week 3: Pages | Rewrite top 20 product + collection pages answer-first. Build 2–3 honest 'best for' / vs pages.
Slide 7: Week 4: Entity | Fact-based About page. Organization schema with sameAs. One brand description everywhere.
Slide 8: Week 4: Mentions | Specific review requests. Outreach to 3–5 sites AI already cites in your category.
Slide 9: Day 30: Re-test | Same prompts, same assistants. Compare to week 1. [YOUR BEFORE/AFTER DATA]
Slide 10: Want the task board? | Comment GEOPLAN and I'll send it | Follow Muhammad Mehrooz Shafique for e-commerce GEO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</si>
  <si>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30 days to an AI-ready store | A week-by-week GEO plan for Shopify | swipe →
Slide 2: The order matters | Measure → unblock → product data → pages → entity → mentions. Skipping ahead wastes effort.
Slide 3: Week 1: Measure | Run 30–50 buyer prompts in ChatGPT, Perplexity, Gemini, AI Mode. Log mentions, accuracy, sources.
Slide 4: Week 1: Unblock | GA4 'AI Assistants' channel group. robots.txt review for OAI-SearchBot, PerplexityBot. Page-source check.
Slide 5: Week 2: Product data | Complete Product schema (brand, gtin, offers, shipping, returns). Fix Merchant Center errors and attributes.
Slide 6: Week 3: Pages | Rewrite top 20 product + collection pages answer-first. Build 2–3 honest 'best for' / vs pages.
Slide 7: Week 4: Entity | Fact-based About page. Organization schema with sameAs. One brand description everywhere.
Slide 8: Week 4: Mentions | Specific review requests. Outreach to 3–5 sites AI already cites in your category.
Slide 9: Day 30: Re-test | Same prompts, same assistants. Compare to week 1. [YOUR BEFORE/AFTER DATA]
Slide 10: Want the task board? | Comment GEOPLAN and I'll send it | Follow Muhammad Mehrooz Shafique for e-commerce GEO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</si>
  <si>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GEOPLAN</t>
  </si>
  <si>
    <t xml:space="preserve">30-Day AI Search Action Plan for Shopify (Notion/Sheet task board)</t>
  </si>
  <si>
    <t xml:space="preserve">A 30-day AI search plan for a Shopify store. The order we actually use. #GEO #ShopifySEO
---
Week 1: Measure and unblock
→ Prompt test 30–50 buyer prompts
→ GA4 "AI Assistants" channel group
→ robots.txt check for OAI-SearchBot and PerplexityBot
→ View page source: are price and stock there?
---
Week 2: Product data
→ Product schema: brand, gtin, offers, shipping, returns
→ Merchant Center errors fixed, attributes filled, feed matches page
---
Week 3: Pages
→ Top 20 product and collection pages rewritten answer-first
→ 2–3 honest "best for" or vs pages
---
Week 4: Entity and mentions
→ About page with facts, Organization schema, sameAs
→ Specific review requests, outreach to sites AI already cites
---
Day 30: re-run the exact same prompts and compare.
Foundations, then pages, then proof. #EcommerceSEO</t>
  </si>
  <si>
    <t xml:space="preserve">A simple 30-day order of work for getting a Shopify store ready for AI search</t>
  </si>
  <si>
    <t xml:space="preserve">A lot of store owners ask where to start with ChatGPT, Perplexity and Google's AI features. Here's the order I'd suggest for a typical Shopify store, based on what's been practical for the stores I work on.
Week 1: write 30–50 real buyer questions and run them through a few assistants. Note whether you're mentioned and which sites get cited. Set up a GA4 custom channel group so AI referrals stop hiding in Referral. Check robots.txt isn't blocking search crawlers like OAI-SearchBot by accident.
Week 2: fill out Product schema (brand, GTIN, offers, shipping, returns) and fix Merchant Center errors.
Week 3: rewrite your top 20 product and collection pages so the first lines answer who it's for and how to choose. Add a couple of honest comparison pages.
Week 4: tidy your About page and brand description across profiles, and start asking buyers more specific review questions.
Then re-run the same questions.
What would you add or reorder for a smaller store with no developer?</t>
  </si>
  <si>
    <t xml:space="preserve">What NOT to do for AI search: the e-commerce spam list</t>
  </si>
  <si>
    <t xml:space="preserve">7 AI search tactics that will hurt your store. Stop them now.</t>
  </si>
  <si>
    <t xml:space="preserve">AI search spam tactics</t>
  </si>
  <si>
    <t xml:space="preserve">scaled content abuse, fake reviews law, AI generated content SEO risk, GEO mistakes, Google spam policies</t>
  </si>
  <si>
    <t xml:space="preserve">7 AI search tactics that will hurt your store. Stop them now.
Every new channel attracts shortcuts. AI search is no different. Here's what I tell clients to avoid:
❌ Hundreds of AI-written pages with no new information. Google's spam policies call this scaled content abuse.
❌ Fake or incentivised reviews. Now illegal under the FTC rule in the US and the DMCC Act in the UK.
❌ Sock-puppet Reddit accounts praising your brand
❌ Hidden text "instructions" aimed at AI crawlers
❌ Self-published "best brands" lists where you're always #1 with no real comparison
❌ Schema ratings that don't match real on-page reviews
❌ Buying links or mentions on low-quality list sites
Some of these may work briefly. Then they cost you rankings, trust or a legal letter.
The image lists each one with the safer alternative.
Takeaway: if you'd be embarrassed explaining the tactic to a customer, don't use it.
Comment "ANTISPAM" and I'll send you the AI Search Red Flags Checklist + Safe Alternatives (PDF).
#GEO #AISearch #EcommerceSEO #SEOEthics</t>
  </si>
  <si>
    <t xml:space="preserve">#GEO #AISearch #EcommerceSEO #SEOEthics</t>
  </si>
  <si>
    <t xml:space="preserve">7 AI search tactics to stop now:
❌ Mass AI pages with nothing new
❌ Fake reviews (illegal in US + UK)
❌ Sock-puppet Reddit accounts
❌ Hidden text for AI bots
❌ Fake 'best brands' lists
❌ Schema ratings that don't match
❌ Bought mentions
Share this with anyone selling you shortcuts.
Comment "ANTISPAM" for the AI Search Red Flags Checklist + Safe Alternatives (PDF).
#seotips #aisearch #geo #ecommerceseo #seomistakes #fakereviews #contentquality #shopifyseo #googlespam #digitalmarketing #onlinestore #ecommercetips</t>
  </si>
  <si>
    <t xml:space="preserve">#seotips #aisearch #geo #ecommerceseo #seomistakes #fakereviews #contentquality #shopifyseo #googlespam #digitalmarketing #onlinestore #ecommercetips</t>
  </si>
  <si>
    <t xml:space="preserve">Single image, 1080x1350, two-column list. Black background, white text, red for ❌ column, green for ✅ column.
Headline: 7 AI SEARCH TACTICS THAT BACKFIRE
Sub-headline: What to do instead
Two columns (❌ Don't | ✅ Do instead), 7 rows:
1 ❌ Mass AI pages with no new info | ✅ 20 strong pages with real expertise
2 ❌ Fake or incentivised reviews | ✅ Specific post-purchase review requests
3 ❌ Sock-puppet Reddit accounts | ✅ Labelled brand rep answering questions
4 ❌ Hidden text for AI crawlers | ✅ Clear visible copy that answers the question
5 ❌ Self-ranked 'best brands' lists | ✅ Honest comparisons that admit trade-offs
6 ❌ Schema ratings that don't match | ✅ Schema that mirrors the visible page
7 ❌ Bought mentions on list sites | ✅ Earned coverage and real reviewers
Bottom note (small): 'Scaled content abuse = Google spam policy. Fake reviews = illegal under US FTC rule and UK DMCC Act.'
Footer: Muhammad Mehrooz Shafique | Permanent SEO | Comment 'ANTISPAM' for the checklist.</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</si>
  <si>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"7 AI search tactics that will hurt your store. Stop them now."
SUBHEAD: "What NOT to do for AI search: the e-commerce spam list"
MAIN VISUAL: the layout described below containing exactly: 
Single image, 1080x1350, two-column list. Black background, white text, red for ❌ column, green for ✅ column.
Headline: 7 AI SEARCH TACTICS THAT BACKFIRE
Sub-headline: What to do instead
Two columns (❌ Don't | ✅ Do instead), 7 rows:
1 ❌ Mass AI pages with no new info | ✅ 20 strong pages with real expertise
2 ❌ Fake or incentivised reviews | ✅ Specific post-purchase review requests
3 ❌ Sock-puppet Reddit accounts | ✅ Labelled brand rep answering questions
4 ❌ Hidden text for AI crawlers | ✅ Clear visible copy that answers the question
5 ❌ Self-ranked 'best brands' lists | ✅ Honest comparisons that admit trade-offs
6 ❌ Schema ratings that don't match | ✅ Schema that mirrors the visible page
7 ❌ Bought mentions on list sites | ✅ Earned coverage and real reviewers
Bottom note (small): 'Scaled content abuse = Google spam policy. Fake reviews = illegal under US FTC rule and UK DMCC Act.'
Footer: Muhammad Mehrooz Shafique | Permanent SEO | Comment 'ANTISPAM' for the checklist.
CTA BANNER (bottom, navy rounded box, white text, keyword in blue): Comment "ANTISPAM" for AI Search Red Flags Checklist + Safe Alternatives (PDF)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</si>
  <si>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"7 AI search tactics that will hurt your store. Stop them now."
BODY (numbered points / simple visual): the 3–5 key points from this brief, shortened to max 8 words each:
Single image, 1080x1350, two-column list. Black background, white text, red for ❌ column, green for ✅ column.
Headline: 7 AI SEARCH TACTICS THAT BACKFIRE
Sub-headline: What to do instead
Two columns (❌ Don't | ✅ Do instead), 7 rows:
1 ❌ Mass AI pages with no new info | ✅ 20 strong pages with real expertise
2 ❌ Fake or incentivised reviews | ✅ Specific post-purchase review requests
3 ❌ Sock-puppet Reddit accounts | ✅ Labelled brand rep answering questions
4 ❌ Hidden text for AI crawlers | ✅ Clear visible copy that answers the question
5 ❌ Self-ranked 'best brands' lists | ✅ Honest comparisons that admit trade-offs
6 ❌ Schema ratings that don't match | ✅ Schema that mirrors the visible page
7 ❌ Bought mentions on list sites | ✅ Earned coverage and real reviewers
Bottom note (small): 'Scaled content abuse = Google spam policy. Fake reviews = illegal under US FTC rule and UK DMCC Act.'
Footer: Muhammad Mehrooz Shafique | Permanent SEO | Comment 'ANTISPAM' for the checklist.
BOTTOM BAR: Comment "ANTISPAM" for AI Search Red Flags Checklist + Safe Alternatives (PDF)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</si>
  <si>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ANTISPAM</t>
  </si>
  <si>
    <t xml:space="preserve">AI Search Red Flags Checklist + Safe Alternatives (PDF)</t>
  </si>
  <si>
    <t xml:space="preserve">AI search tactics that backfire:
Mass AI pages with nothing new. Fake reviews (illegal in US + UK). Sock-puppet Reddit accounts. Hidden text for bots. Self-ranked best-of lists. Mismatched schema ratings.
Earn it instead. #GEO #EcommerceSEO</t>
  </si>
  <si>
    <t xml:space="preserve">Win one use case before you chase the whole category</t>
  </si>
  <si>
    <t xml:space="preserve">We don't compete for every prompt. We win one use case.</t>
  </si>
  <si>
    <t xml:space="preserve">niche positioning for AI recommendations</t>
  </si>
  <si>
    <t xml:space="preserve">AI recommendations small brands, ecommerce positioning, use case pages, compete with big brands in AI search</t>
  </si>
  <si>
    <t xml:space="preserve">We don't compete for every prompt. We win one use case.
Small stores often assume AI will always recommend the biggest brand. For broad prompts, it often does.
But buyers rarely ask broad questions. They ask:
"best walking boots for wide feet"
"vegan leather bag that fits a 16-inch laptop"
That's where smaller brands win. If you own one specific use case clearly, AI has a reason to name you.
Before chasing the whole category, get three things clear:
→ Which use case do you serve better than anyone?
→ Do your pages say it, in those words?
→ Do reviews and outside mentions back it up?
Then move to the next use case.
Takeaway: be the obvious answer to one question before trying to answer them all.
Comment "NICHEWIN" and I'll send you the Use Case Positioning Worksheet for AI Search (Google Doc).
#GEO #Positioning #EcommerceSEO #AISearch</t>
  </si>
  <si>
    <t xml:space="preserve">#GEO #Positioning #EcommerceSEO #AISearch</t>
  </si>
  <si>
    <t xml:space="preserve">Small brand? Don't fight for every prompt.
Buyers ask specific questions:
"walking boots for wide feet"
"bag that fits a 16-inch laptop"
Own one:
→ Pick the use case you serve best
→ Say it on your pages
→ Back it with reviews + mentions
Share this with a founder who feels outgunned.
Comment "NICHEWIN" for the Use Case Positioning Worksheet for AI Search (Google Doc).
#brandpositioning #smallbusiness #aisearch #geo #ecommerceseo #nichemarketing #shopifyseo #ecommercetips #chatgpt #onlinestore #ecommercebrand #seotips</t>
  </si>
  <si>
    <t xml:space="preserve">#brandpositioning #smallbusiness #aisearch #geo #ecommerceseo #nichemarketing #shopifyseo #ecommercetips #chatgpt #onlinestore #ecommercebrand #seotips</t>
  </si>
  <si>
    <t xml:space="preserve">[0-3s] VO: We don't compete for every prompt. | ON-SCREEN: Not every prompt. | VISUAL: Wall of prompt boxes, most fade out
[3-5s] VO: We win one use case. | ON-SCREEN: One use case. | VISUAL: Single prompt box glows: 'boots for wide feet'
[5-8s] VO: Most small brands begin here. | ON-SCREEN: Most small brands begin here. | VISUAL: Founder looking at a giant competitor logo (generic)
[8-9s] VO: Bigger budgets. | ON-SCREEN: Bigger budgets. | VISUAL: Word alone
[8-9s] VO: Bigger brands. | ON-SCREEN: Bigger brands. | VISUAL: Word alone
[9-10s] VO: Broader keywords. | ON-SCREEN: Broader keywords. | VISUAL: Word alone
[10-16s] VO: But buyers ask specific questions. So three things need to be clear. | ON-SCREEN: 3 things | VISUAL: Counter 1-2-3
[16-19s] VO: Which use case do you serve best? | ON-SCREEN: 1. Your use case? | VISUAL: Target icon locks on
[19-22s] VO: Do your pages say it plainly? | ON-SCREEN: 2. On the page? | VISUAL: Product page H1 updates with the use case
[22-24s] VO: Do reviews back it up? | ON-SCREEN: 3. Backed up? | VISUAL: Review quote: 'finally fits my wide feet'
[24-27s] VO: Without focus, AI sees another option. | ON-SCREEN: Another option. | VISUAL: Your logo among many, grey
[27-30s] VO: With it, AI sees the answer. | ON-SCREEN: The answer. | VISUAL: Your logo alone in the answer box
[30-32s] VO: Own one question first. | ON-SCREEN: Own one question first. | Comment NICHEWIN | VISUAL: End card</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</si>
  <si>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[0-3s] VO: We don't compete for every prompt. | ON-SCREEN: Not every prompt. | VISUAL: Wall of prompt boxes, most fade out
[3-5s] VO: We win one use case. | ON-SCREEN: One use case. | VISUAL: Single prompt box glows: 'boots for wide feet'
[5-8s] VO: Most small brands begin here. | ON-SCREEN: Most small brands begin here. | VISUAL: Founder looking at a giant competitor logo (generic)
[8-9s] VO: Bigger budgets. | ON-SCREEN: Bigger budgets. | VISUAL: Word alone
[8-9s] VO: Bigger brands. | ON-SCREEN: Bigger brands. | VISUAL: Word alone
[9-10s] VO: Broader keywords. | ON-SCREEN: Broader keywords. | VISUAL: Word alone
[10-16s] VO: But buyers ask specific questions. So three things need to be clear. | ON-SCREEN: 3 things | VISUAL: Counter 1-2-3
[16-19s] VO: Which use case do you serve best? | ON-SCREEN: 1. Your use case? | VISUAL: Target icon locks on
[19-22s] VO: Do your pages say it plainly? | ON-SCREEN: 2. On the page? | VISUAL: Product page H1 updates with the use case
[22-24s] VO: Do reviews back it up? | ON-SCREEN: 3. Backed up? | VISUAL: Review quote: 'finally fits my wide feet'
[24-27s] VO: Without focus, AI sees another option. | ON-SCREEN: Another option. | VISUAL: Your logo among many, grey
[27-30s] VO: With it, AI sees the answer. | ON-SCREEN: The answer. | VISUAL: Your logo alone in the answer box
[30-32s] VO: Own one question first. | ON-SCREEN: Own one question first. | Comment NICHEWIN | VISUAL: End card
Final 3 s: dark/navy end card with Permanent SEO logo, 'SEO for E-commerce Brands' and 'Comment "NICHEWIN"'. Burned-in captions. All text spelled exactly as written, sharp and legible on mobile; no extra words, no watermarks.</t>
  </si>
  <si>
    <t xml:space="preserve">NICHEWIN</t>
  </si>
  <si>
    <t xml:space="preserve">Use Case Positioning Worksheet for AI Search (Google Doc)</t>
  </si>
  <si>
    <t xml:space="preserve">Small brands lose broad AI prompts to big names. They win specific ones.
"Walking boots for wide feet." Pick the use case you serve best, say it plainly on your pages, back it with reviews. Then expand. #GEO #EcommerceSEO</t>
  </si>
  <si>
    <t xml:space="preserve">Niche Positioning for AI Recommendations: How Small Brands Win</t>
  </si>
  <si>
    <t xml:space="preserve">Niche positioning for AI recommendations: why small e-commerce brands should own one specific use case before chasing broad prompts in ChatGPT, Perplexity and Google AI Overviews. #Shorts</t>
  </si>
  <si>
    <t xml:space="preserve">niche positioning, AI recommendations, small brand marketing, GEO, ecommerce SEO, ChatGPT recommendations, AI search, use case marketing, Shopify SEO, brand positioning</t>
  </si>
  <si>
    <t xml:space="preserve">Apr 2027</t>
  </si>
  <si>
    <t xml:space="preserve">Local SEO, Link Building &amp; Case Studies</t>
  </si>
  <si>
    <t xml:space="preserve">Google Business Profile setup for stores with a showroom</t>
  </si>
  <si>
    <t xml:space="preserve">Your showroom is open. Google Maps doesn't know it exists.</t>
  </si>
  <si>
    <t xml:space="preserve">google business profile for retail stores</t>
  </si>
  <si>
    <t xml:space="preserve">google business profile categories, local seo for shops, google maps ranking, showroom seo, click and collect seo</t>
  </si>
  <si>
    <t xml:space="preserve">Most online stores with a physical showroom treat Google Business Profile like a phone book entry.
Set it up once. Forget it.
That's why the shop down the road shows up on Maps and you don't.
If you have a showroom, a shop counter or a click-and-collect point, your profile is a sales channel. Treat it like one:
→ Primary category = what people buy in store (e.g. "Furniture store"), not a generic "online store" label
→ Secondary categories only if they're true
→ Opening hours and holiday hours kept current
→ Products section filled with your real best-sellers
→ Photos of the actual shop floor, refreshed regularly
→ Reviews asked for at the till and answered within days
→ Website link pointing to the store's own page, not the homepage
Google says local results are ranked on relevance, distance and prominence. You can't move your shop. You can work on relevance and prominence.
I made a short video on how we set these up for retailers at Permanent SEO.
Comment "SHOWROOM" and I'll send you the Showroom GBP Setup Checklist.
#LocalSEO #EcommerceSEO #GoogleBusinessProfile #RetailMarketing</t>
  </si>
  <si>
    <t xml:space="preserve">#LocalSEO #EcommerceSEO #GoogleBusinessProfile #RetailMarketing</t>
  </si>
  <si>
    <t xml:space="preserve">Your showroom deserves to show up on Maps.
Fix these first:
→ Primary category = what people buy in store
→ Real shop-floor photos, refreshed regularly
→ Products section with your best-sellers
→ Holiday hours always updated
→ Website link to the store page, not the homepage
Google ranks local results on relevance, distance and prominence. Two of those you can work on.
Save this for your next profile check.
Comment "SHOWROOM" for the Showroom GBP Setup Checklist.
#localseo #googlebusinessprofile #ecommerceseo #seotips #retailstore #showroom #shopify #woocommerce #smallbusinessmarketing #googlemaps #localbusiness #seoexpert</t>
  </si>
  <si>
    <t xml:space="preserve">#localseo #googlebusinessprofile #ecommerceseo #seotips #retailstore #showroom #shopify #woocommerce #smallbusinessmarketing #googlemaps #localbusiness #seoexpert</t>
  </si>
  <si>
    <t xml:space="preserve">Scene 1 [0-8s] VO: Okay, new sofa range is live on the site. Showroom's fully stocked. So why is nobody walking in? | VISUAL: Store owner alone in a bright showroom, checking phone. Phone screen shows a Maps search with three competitor pins.
Scene 2 [8-18s] VO: Let's be honest. Your problem isn't your stock. It's that Google Maps barely knows your showroom exists. | VISUAL: Map pack animation, competitor pins pop in, your shop pin fades out.
Scene 3 [18-30s] VO: Wrong category. Old photos. Holiday hours from last year. No products. And the website link drops people on your homepage. | VISUAL: Mock Business Profile with red circles appearing on each problem.
Scene 4 [30-35s] VO: It's time to change that. | VISUAL: Hard cut to clean white frame, Permanent SEO logo mark.
Scene 5 [35-47s] VO: At Permanent SEO, we treat your Business Profile like a sales channel. Google ranks local results on relevance, distance and prominence. We work on the two you control. | VISUAL: Three icons: Relevance, Distance (greyed out), Prominence.
Scene 6 [47-61s] VO: Step one. Pick the primary category that matches what people buy in store. Step two. Fill the products section with real best-sellers, each linked to its product page. | VISUAL: Category dropdown selecting "Furniture store"; product cards sliding into the profile.
Scene 7 [61-75s] VO: Step three. Point the website link to a store page with your address, hours and directions. Step four. Ask for reviews at the till and reply to every single one. | VISUAL: Link arrow from profile to a store page; review cards with owner replies.
Scene 8 [75-84s] VO: No fake reviews. No keywords stuffed into your business name. Just a profile that matches the real shop. | VISUAL: Crossed-out "Best Sofas Cheap London Ltd" name, replaced by the real store name.
Scene 9 [84-92s] VO: The result? [CLIENT RESULT: +X% direction requests in Y months]. | VISUAL: Placeholder chart, GBP Performance view, "[YOUR DATA]" label.
Scene 10 [92-105s] VO: Comment SHOWROOM and I'll send you the checklist. Or book a free e-commerce SEO audit with Permanent SEO. | VISUAL: End card: "Comment SHOWROOM" + "Book a free e-commerce SEO audit" + Mehrooz headshot.
Vertical cut (35s): Scenes 2, 5, 6, 7, 10.</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</si>
  <si>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Okay, new sofa range is live on the site. Showroom's fully stocked. So why is nobody walking in? | VISUAL: Store owner alone in a bright showroom, checking phone. Phone screen shows a Maps search with three competitor pins.
Scene 2 [8-18s] VO: Let's be honest. Your problem isn't your stock. It's that Google Maps barely knows your showroom exists. | VISUAL: Map pack animation, competitor pins pop in, your shop pin fades out.
Scene 3 [18-30s] VO: Wrong category. Old photos. Holiday hours from last year. No products. And the website link drops people on your homepage. | VISUAL: Mock Business Profile with red circles appearing on each problem.
Scene 4 [30-35s] VO: It's time to change that. | VISUAL: Hard cut to clean white frame, Permanent SEO logo mark.
Scene 5 [35-47s] VO: At Permanent SEO, we treat your Business Profile like a sales channel. Google ranks local results on relevance, distance and prominence. We work on the two you control. | VISUAL: Three icons: Relevance, Distance (greyed out), Prominence.
Scene 6 [47-61s] VO: Step one. Pick the primary category that matches what people buy in store. Step two. Fill the products section with real best-sellers, each linked to its product page. | VISUAL: Category dropdown selecting "Furniture store"; product cards sliding into the profile.
Scene 7 [61-75s] VO: Step three. Point the website link to a store page with your address, hours and directions. Step four. Ask for reviews at the till and reply to every single one. | VISUAL: Link arrow from profile to a store page; review cards with owner replies.
Scene 8 [75-84s] VO: No fake reviews. No keywords stuffed into your business name. Just a profile that matches the real shop. | VISUAL: Crossed-out "Best Sofas Cheap London Ltd" name, replaced by the real store name.
Scene 9 [84-92s] VO: The result? [CLIENT RESULT: +X% direction requests in Y months]. | VISUAL: Placeholder chart, GBP Performance view, "[YOUR DATA]" label.
Scene 10 [92-105s] VO: Comment SHOWROOM and I'll send you the checklist. Or book a free e-commerce SEO audit with Permanent SEO. | VISUAL: End card: "Comment SHOWROOM" + "Book a free e-commerce SEO audit" + Mehrooz headshot.
Vertical cut (35s): Scenes 2, 5, 6, 7, 10.
End card: Permanent SEO logo + 'Comment "SHOWROOM"'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</si>
  <si>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Okay, new sofa range is live on the site. Showroom's fully stocked. So why is nobody walking in? | VISUAL: Store owner alone in a bright showroom, checking phone. Phone screen shows a Maps search with three competitor pins.
Scene 2 [8-18s] VO: Let's be honest. Your problem isn't your stock. It's that Google Maps barely knows your showroom exists. | VISUAL: Map pack animation, competitor pins pop in, your shop pin fades out.
Scene 3 [18-30s] VO: Wrong category. Old photos. Holiday hours from last year. No products. And the website link drops people on your homepage. | VISUAL: Mock Business Profile with red circles appearing on each problem.
Scene 4 [30-35s] VO: It's time to change that. | VISUAL: Hard cut to clean white frame, Permanent SEO logo mark.
Scene 5 [35-47s] VO: At Permanent SEO, we treat your Business Profile like a sales channel. Google ranks local results on relevance, distance and prominence. We work on the two you control. | VISUAL: Three icons: Relevance, Distance (greyed out), Prominence.
Scene 6 [47-61s] VO: Step one. Pick the primary category that matches what people buy in store. Step two. Fill the products section with real best-sellers, each linked to its product page. | VISUAL: Category dropdown selecting "Furniture store"; product cards sliding into the profile.
Scene 7 [61-75s] VO: Step three. Point the website link to a store page with your address, hours and directions. Step four. Ask for reviews at the till and reply to every single one. | VISUAL: Link arrow from profile to a store page; review cards with owner replies.
Scene 8 [75-84s] VO: No fake reviews. No keywords stuffed into your business name. Just a profile that matches the real shop. | VISUAL: Crossed-out "Best Sofas Cheap London Ltd" name, replaced by the real store name.
Scene 9 [84-92s] VO: The result? [CLIENT RESULT: +X% direction requests in Y months]. | VISUAL: Placeholder chart, GBP Performance view, "[YOUR DATA]" label.
Scene 10 [92-105s] VO: Comment SHOWROOM and I'll send you the checklist. Or book a free e-commerce SEO audit with Permanent SEO. | VISUAL: End card: "Comment SHOWROOM" + "Book a free e-commerce SEO audit" + Mehrooz headshot.
Vertical cut (35s): Scenes 2, 5, 6, 7, 10.
Final 3 s: dark/navy end card with Permanent SEO logo, 'SEO for E-commerce Brands' and 'Comment "SHOWROOM"'. Burned-in captions. All text spelled exactly as written, sharp and legible on mobile; no extra words, no watermarks.</t>
  </si>
  <si>
    <t xml:space="preserve">SHOWROOM</t>
  </si>
  <si>
    <t xml:space="preserve">Showroom GBP Setup Checklist (PDF)</t>
  </si>
  <si>
    <t xml:space="preserve">Got a showroom? Your Google Business Profile is a sales channel.
→ Category = what people buy in store
→ Products = real best-sellers
→ Link to the store page, not the homepage
→ Reviews asked for at the till
Comment SHOWROOM for the checklist. #LocalSEO</t>
  </si>
  <si>
    <t xml:space="preserve">Google Business Profile for Retail Stores: Showroom Setup in 4 Steps</t>
  </si>
  <si>
    <t xml:space="preserve">How to set up a Google Business Profile for retail stores with a showroom or shop counter, so you show up on Google Maps when locals search. Muhammad Mehrooz Shafique from Permanent SEO walks through categories, products, store pages and reviews.</t>
  </si>
  <si>
    <t xml:space="preserve">google business profile, local seo, retail seo, google maps ranking, showroom seo, ecommerce seo, google business profile categories, local seo for shops, permanent seo, store owner seo</t>
  </si>
  <si>
    <t xml:space="preserve">Guide preview: Local SEO for online stores with a physical shop</t>
  </si>
  <si>
    <t xml:space="preserve">The local SEO guide for online stores that also sell offline</t>
  </si>
  <si>
    <t xml:space="preserve">local seo for ecommerce stores</t>
  </si>
  <si>
    <t xml:space="preserve">local seo checklist, local landing pages, nap consistency, local inventory ads, store reviews strategy</t>
  </si>
  <si>
    <t xml:space="preserve">Most e-commerce SEO advice assumes you only sell online.
But plenty of stores have a showroom, a warehouse counter, a pop-up or three shops on the high street.
For those brands, local search is a second front door. And it's usually the one nobody's looking after.
So I put everything we use for these clients at Permanent SEO into one guide:
1. Google Business Profile for showrooms
2. Local inventory and "in stock nearby"
3. Store location pages that rank (without doorway pages)
4. NAP consistency audit
5. A reviews system staff will actually use
6. Local links from your own town
7. Tracking calls, directions and store visits
Each chapter is practical. Screenshots, checklists, what to do this week.
No theory dumps. No "it depends" without telling you what it depends on.
Comment "STOREFRONT" and I'll send you the Local SEO for Stores Guide.
#LocalSEO #EcommerceSEO #RetailMarketing #ShopifySEO</t>
  </si>
  <si>
    <t xml:space="preserve">#LocalSEO #EcommerceSEO #RetailMarketing #ShopifySEO</t>
  </si>
  <si>
    <t xml:space="preserve">Sell online AND have a shop?
Local search is your second front door.
The free guide covers:
1. GBP for showrooms
2. "In stock nearby"
3. Store pages that rank
4. NAP consistency
5. Reviews system
6. Local links
7. Tracking store visits
Save this and share it with whoever runs your store.
Comment "STOREFRONT" for the Local SEO for Stores Guide.
#localseo #ecommerceseo #seoguide #shopify #woocommerce #retailmarketing #googlebusinessprofile #smallbusinesstips #onlinestore #seotips #localbusiness #storeowner</t>
  </si>
  <si>
    <t xml:space="preserve">#localseo #ecommerceseo #seoguide #shopify #woocommerce #retailmarketing #googlebusinessprofile #smallbusinesstips #onlinestore #seotips #localbusiness #storeowner</t>
  </si>
  <si>
    <t xml:space="preserve">Single image, 1080x1350 (IG) and 1200x1500 (LinkedIn). Layout: guide cover mockup, angled 3D book/PDF on the left two-thirds, numbered contents list on the right.
Top label (small caps): FREE GUIDE BY PERMANENT SEO
Headline (bold condensed, 2 lines): LOCAL SEO FOR STORES
Sub-headline: For online stores with a showroom, shop or pick-up point
Cover of the mockup shows a stylised map pin over a shopfront icon.
Contents panel title: INSIDE
01 Google Business Profile for showrooms
02 Local inventory &amp; "in stock nearby"
03 Store location pages that rank
04 NAP consistency audit
05 A reviews system staff will use
06 Local links from your own town
07 Tracking calls, directions &amp; visits
Bottom banner (full width, high-contrast brand colour): Comment "STOREFRONT" for free access
Footer: Muhammad Mehrooz Shafique | Co-Founder,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</si>
  <si>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"The local SEO guide for online stores that also sell offline"
SUBHEAD: "Guide preview: Local SEO for online stores with a physical shop"
MAIN VISUAL: the layout described below containing exactly: 
Single image, 1080x1350 (IG) and 1200x1500 (LinkedIn). Layout: guide cover mockup, angled 3D book/PDF on the left two-thirds, numbered contents list on the right.
Top label (small caps): FREE GUIDE BY PERMANENT SEO
Headline (bold condensed, 2 lines): LOCAL SEO FOR STORES
Sub-headline: For online stores with a showroom, shop or pick-up point
Cover of the mockup shows a stylised map pin over a shopfront icon.
Contents panel title: INSIDE
01 Google Business Profile for showrooms
02 Local inventory &amp; "in stock nearby"
03 Store location pages that rank
04 NAP consistency audit
05 A reviews system staff will use
06 Local links from your own town
07 Tracking calls, directions &amp; visits
Bottom banner (full width, high-contrast brand colour): Comment "STOREFRONT" for free access
Footer: Muhammad Mehrooz Shafique | Co-Founder, Permanent SEO
CTA BANNER (bottom, navy rounded box, white text, keyword in blue): Comment "STOREFRONT" for Local SEO for Stores Guide (PDF, 7 chapters)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</si>
  <si>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"The local SEO guide for online stores that also sell offline"
BODY (numbered points / simple visual): the 3–5 key points from this brief, shortened to max 8 words each:
Single image, 1080x1350 (IG) and 1200x1500 (LinkedIn). Layout: guide cover mockup, angled 3D book/PDF on the left two-thirds, numbered contents list on the right.
Top label (small caps): FREE GUIDE BY PERMANENT SEO
Headline (bold condensed, 2 lines): LOCAL SEO FOR STORES
Sub-headline: For online stores with a showroom, shop or pick-up point
Cover of the mockup shows a stylised map pin over a shopfront icon.
Contents panel title: INSIDE
01 Google Business Profile for showrooms
02 Local inventory &amp; "in stock nearby"
03 Store location pages that rank
04 NAP consistency audit
05 A reviews system staff will use
06 Local links from your own town
07 Tracking calls, directions &amp; visits
Bottom banner (full width, high-contrast brand colour): Comment "STOREFRONT" for free access
Footer: Muhammad Mehrooz Shafique | Co-Founder, Permanent SEO
BOTTOM BAR: Comment "STOREFRONT" for Local SEO for Stores Guide (PDF, 7 chapters)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</si>
  <si>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STOREFRONT</t>
  </si>
  <si>
    <t xml:space="preserve">Local SEO for Stores Guide (PDF, 7 chapters)</t>
  </si>
  <si>
    <t xml:space="preserve">Have an online store AND a physical shop? Local search is your second front door.
Free guide: GBP for showrooms, "in stock nearby", store pages, NAP, reviews, local links, tracking visits.
Comment STOREFRONT and I'll send it. #LocalSEO #Ecommerce</t>
  </si>
  <si>
    <t xml:space="preserve">Location pages for multi-store retailers: 8-step build</t>
  </si>
  <si>
    <t xml:space="preserve">Three shops. One generic "Stores" page. That's the leak.</t>
  </si>
  <si>
    <t xml:space="preserve">local landing pages for multiple locations</t>
  </si>
  <si>
    <t xml:space="preserve">store locator seo, multi-location seo, location page template, localbusiness schema, doorway pages</t>
  </si>
  <si>
    <t xml:space="preserve">If you run three shops and send them all to one "Our Stores" page, you're asking one URL to rank in three towns.
It rarely works.
Each physical location deserves its own page. Not a copy-paste with the town name swapped. Google's spam policies call that a doorway page.
Here's the build we use for multi-location retailers:
→ One URL per store: /stores/manchester/
→ Unique intro: what this shop stocks, who runs it, what's nearby
→ Full NAP + hours, matching the Business Profile exactly
→ Embedded map + directions + parking
→ Store-specific stock, services or events
→ Real photos of that shop
→ LocalBusiness (or Store) schema per page
→ Links from the store locator and the footer, and back to key categories
Then link each Business Profile to its own page.
The carousel breaks down all 8 steps.
Comment "MULTISTORE" and I'll send you the Store Location Page Template (with schema snippet).
#LocalSEO #EcommerceSEO #MultiLocation #RetailSEO</t>
  </si>
  <si>
    <t xml:space="preserve">#LocalSEO #EcommerceSEO #MultiLocation #RetailSEO</t>
  </si>
  <si>
    <t xml:space="preserve">One "Stores" page can't rank in five towns.
Each shop needs:
→ Its own URL
→ Unique copy about that shop
→ NAP + hours matching GBP
→ Map, directions, parking
→ Real photos + LocalBusiness schema
Swapping the town name isn't a location page. It's a doorway page.
Save this before you build your store locator.
Comment "MULTISTORE" for the Store Location Page Template.
#localseo #multilocation #ecommerceseo #retailseo #storelocator #schemamarkup #seotips #shopify #woocommerce #technicalseo #localbusiness #seoexpert</t>
  </si>
  <si>
    <t xml:space="preserve">#localseo #multilocation #ecommerceseo #retailseo #storelocator #schemamarkup #seotips #shopify #woocommerce #technicalseo #localbusiness #seoexpert</t>
  </si>
  <si>
    <t xml:space="preserve">Slide 1: Three shops. One "Stores" page. That's the leak. | 8 steps to location pages that rank for multi-store retailers
Slide 2: Why one page fails | One URL can't be the best answer for "furniture shop Leeds" and "furniture shop York" at the same time.
Slide 3: Step 1: One URL per store | /stores/leeds/, /stores/york/. Clean, permanent, linked from the store locator.
Slide 4: Step 2: Write it like the shop is real | What this shop stocks, who runs it, what's nearby. Swapping the town name = doorway page (Google spam policies).
Slide 5: Step 3: NAP + hours, exactly as on GBP | Same name, address, phone. Same format. Holiday hours too.
Slide 6: Step 4: Make it useful to visit | Embedded map, directions, parking, accessibility, click-and-collect info.
Slide 7: Step 5: Store-specific proof | Real photos of that shop, local reviews, events, services only offered there.
Slide 8: Step 6: LocalBusiness / Store schema | Name, address, geo, openingHours, telephone, url. One block per page.
Slide 9: Steps 7–8: Link it in, link it out | Store locator + footer → store page. Store page → key categories. GBP website link → this page.
Slide 10: Want the template? | Comment "MULTISTORE" for the Store Location Page Template + schema snippet. Follow Muhammad Mehrooz Shafique for more e-commerce SEO.</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</si>
  <si>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Three shops. One "Stores" page. That's the leak. | 8 steps to location pages that rank for multi-store retailers
Slide 2: Why one page fails | One URL can't be the best answer for "furniture shop Leeds" and "furniture shop York" at the same time.
Slide 3: Step 1: One URL per store | /stores/leeds/, /stores/york/. Clean, permanent, linked from the store locator.
Slide 4: Step 2: Write it like the shop is real | What this shop stocks, who runs it, what's nearby. Swapping the town name = doorway page (Google spam policies).
Slide 5: Step 3: NAP + hours, exactly as on GBP | Same name, address, phone. Same format. Holiday hours too.
Slide 6: Step 4: Make it useful to visit | Embedded map, directions, parking, accessibility, click-and-collect info.
Slide 7: Step 5: Store-specific proof | Real photos of that shop, local reviews, events, services only offered there.
Slide 8: Step 6: LocalBusiness / Store schema | Name, address, geo, openingHours, telephone, url. One block per page.
Slide 9: Steps 7–8: Link it in, link it out | Store locator + footer → store page. Store page → key categories. GBP website link → this page.
Slide 10: Want the template? | Comment "MULTISTORE" for the Store Location Page Template + schema snippet. Follow Muhammad Mehrooz Shafique for more e-commerce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</si>
  <si>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Three shops. One "Stores" page. That's the leak. | 8 steps to location pages that rank for multi-store retailers
Slide 2: Why one page fails | One URL can't be the best answer for "furniture shop Leeds" and "furniture shop York" at the same time.
Slide 3: Step 1: One URL per store | /stores/leeds/, /stores/york/. Clean, permanent, linked from the store locator.
Slide 4: Step 2: Write it like the shop is real | What this shop stocks, who runs it, what's nearby. Swapping the town name = doorway page (Google spam policies).
Slide 5: Step 3: NAP + hours, exactly as on GBP | Same name, address, phone. Same format. Holiday hours too.
Slide 6: Step 4: Make it useful to visit | Embedded map, directions, parking, accessibility, click-and-collect info.
Slide 7: Step 5: Store-specific proof | Real photos of that shop, local reviews, events, services only offered there.
Slide 8: Step 6: LocalBusiness / Store schema | Name, address, geo, openingHours, telephone, url. One block per page.
Slide 9: Steps 7–8: Link it in, link it out | Store locator + footer → store page. Store page → key categories. GBP website link → this page.
Slide 10: Want the template? | Comment "MULTISTORE" for the Store Location Page Template + schema snippet. Follow Muhammad Mehrooz Shafique for more e-commerce SEO.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</si>
  <si>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MULTISTORE</t>
  </si>
  <si>
    <t xml:space="preserve">Store Location Page Template (Google Doc + LocalBusiness schema snippet)</t>
  </si>
  <si>
    <t xml:space="preserve">Run more than one shop? One "Our Stores" page can't rank in every town. Here's the 8-step build for location pages.
---
1/ One URL per store. /stores/leeds/, /stores/york/. Linked from your store locator and footer.
---
2/ Write it like the shop is real. What it stocks, who runs it, what's nearby. Swapping the town name is a doorway page under Google's spam policies.
---
3/ NAP + hours exactly as on the Business Profile. Same format. Holiday hours too.
---
4/ Make it useful: map, directions, parking, click-and-collect info, real photos of that shop.
---
5/ Add LocalBusiness or Store schema per page. Then point each GBP website link to its own page.
---
6/ Comment MULTISTORE for the template + schema snippet. #LocalSEO #Ecommerce</t>
  </si>
  <si>
    <t xml:space="preserve">How to structure location pages if your online store also has a few physical shops</t>
  </si>
  <si>
    <t xml:space="preserve">A common pattern: an online store opens two or three physical shops, adds them to a single "Our Stores" page, and wonders why none of them show up for local searches.
What tends to work better:
1. One URL per shop (/stores/leeds/), linked from the store locator and footer.
2. Copy that is genuinely about that shop: what it stocks, services only offered there, what's nearby, parking. If the only difference between pages is the town name, Google's spam policies treat that as a doorway page.
3. Name, address, phone and hours written exactly as they appear on the Google Business Profile.
4. A map, directions and real photos of that location.
5. LocalBusiness or Store structured data on each page.
6. Each Business Profile's website link pointing to its own store page instead of the homepage.
7. Links from each store page back to the main categories people buy in store.
It's not glamorous, but it gives each location a page that can be the best result for its town.
For those of you with multiple locations: did you see a difference after splitting pages, or did one store locator page do fine for you?</t>
  </si>
  <si>
    <t xml:space="preserve">NAP consistency audit table for online stores with shops</t>
  </si>
  <si>
    <t xml:space="preserve">Your store has one address. Google might be seeing four.</t>
  </si>
  <si>
    <t xml:space="preserve">nap consistency</t>
  </si>
  <si>
    <t xml:space="preserve">local citations, business listings audit, apple business connect, bing places, local seo citations</t>
  </si>
  <si>
    <t xml:space="preserve">Your shop has one address.
But search engines might be seeing four versions of it.
"Unit 4, 12 High St" on the website footer.
"12 High Street, Unit 4" on Google.
An old phone number on Facebook.
The previous unit on a directory from 2019.
None of these alone sinks you. Together they make it harder for Google and customers to trust which details are right.
The image shows where we check NAP (name, address, phone) for retail clients at Permanent SEO:
→ Website footer and contact page
→ Each store location page
→ LocalBusiness schema
→ Google Business Profile
→ Apple Business Connect
→ Bing Places
→ Facebook and Instagram profiles
→ Industry and local directories
→ Order confirmation emails and checkout pickup options
Pick one exact format. Write it down. Use it everywhere. Fix the old ones first, then add new listings.
Comment "NAPFIX" and I'll send you the NAP Consistency Audit Sheet.
#LocalSEO #EcommerceSEO #RetailMarketing #SEOTips</t>
  </si>
  <si>
    <t xml:space="preserve">#LocalSEO #EcommerceSEO #RetailMarketing #SEOTips</t>
  </si>
  <si>
    <t xml:space="preserve">One shop. Four addresses online.
Check NAP (name, address, phone) here:
→ Website footer + store pages
→ Google Business Profile
→ Apple Business Connect + Bing Places
→ Facebook + Instagram
→ Local directories
Pick one exact format. Use it everywhere. Fix old listings first.
Save this for your next local audit.
Comment "NAPFIX" for the NAP Consistency Audit Sheet.
#localseo #napconsistency #localcitations #ecommerceseo #googlebusinessprofile #seotips #retailmarketing #smallbusiness #shopify #woocommerce #seochecklist #localbusiness</t>
  </si>
  <si>
    <t xml:space="preserve">#localseo #napconsistency #localcitations #ecommerceseo #googlebusinessprofile #seotips #retailmarketing #smallbusiness #shopify #woocommerce #seochecklist #localbusiness</t>
  </si>
  <si>
    <t xml:space="preserve">Single image, 1080x1350. Data table infographic.
Headline (bold condensed): ONE SHOP. FOUR ADDRESSES.
Sub-headline: Where to check NAP (Name, Address, Phone) for online stores with a physical shop
Table columns: Source | Name | Address | Phone | Hours
Rows (each cell shows an empty tick box for the store owner to fill, row 1 shows example ✅ ✅ ❌ ✅ ✅):
1. Website footer
2. Store location page
3. LocalBusiness schema
4. Google Business Profile
5. Apple Business Connect
6. Bing Places
7. Facebook / Instagram
8. Local + industry directories
9. Checkout pickup options &amp; order emails
Side callout box (right, sticky-note style): "The rule: one exact format, written down, used everywhere."
Small footnote under table: "Fill with [YOUR AUDIT RESULTS]"
Bottom bar: Comment "NAPFIX" for the audit sheet | Muhammad Mehrooz Shafique,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</si>
  <si>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"Your store has one address. Google might be seeing four."
SUBHEAD: "NAP consistency audit table for online stores with shops"
MAIN VISUAL: the layout described below containing exactly: 
Single image, 1080x1350. Data table infographic.
Headline (bold condensed): ONE SHOP. FOUR ADDRESSES.
Sub-headline: Where to check NAP (Name, Address, Phone) for online stores with a physical shop
Table columns: Source | Name | Address | Phone | Hours
Rows (each cell shows an empty tick box for the store owner to fill, row 1 shows example ✅ ✅ ❌ ✅ ✅):
1. Website footer
2. Store location page
3. LocalBusiness schema
4. Google Business Profile
5. Apple Business Connect
6. Bing Places
7. Facebook / Instagram
8. Local + industry directories
9. Checkout pickup options &amp; order emails
Side callout box (right, sticky-note style): "The rule: one exact format, written down, used everywhere."
Small footnote under table: "Fill with [YOUR AUDIT RESULTS]"
Bottom bar: Comment "NAPFIX" for the audit sheet | Muhammad Mehrooz Shafique, Permanent SEO
CTA BANNER (bottom, navy rounded box, white text, keyword in blue): Comment "NAPFIX" for NAP Consistency Audit Sheet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</si>
  <si>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"Your store has one address. Google might be seeing four."
BODY (numbered points / simple visual): the 3–5 key points from this brief, shortened to max 8 words each:
Single image, 1080x1350. Data table infographic.
Headline (bold condensed): ONE SHOP. FOUR ADDRESSES.
Sub-headline: Where to check NAP (Name, Address, Phone) for online stores with a physical shop
Table columns: Source | Name | Address | Phone | Hours
Rows (each cell shows an empty tick box for the store owner to fill, row 1 shows example ✅ ✅ ❌ ✅ ✅):
1. Website footer
2. Store location page
3. LocalBusiness schema
4. Google Business Profile
5. Apple Business Connect
6. Bing Places
7. Facebook / Instagram
8. Local + industry directories
9. Checkout pickup options &amp; order emails
Side callout box (right, sticky-note style): "The rule: one exact format, written down, used everywhere."
Small footnote under table: "Fill with [YOUR AUDIT RESULTS]"
Bottom bar: Comment "NAPFIX" for the audit sheet | Muhammad Mehrooz Shafique, Permanent SEO
BOTTOM BAR: Comment "NAPFIX" for NAP Consistency Audit Sheet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</si>
  <si>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NAPFIX</t>
  </si>
  <si>
    <t xml:space="preserve">NAP Consistency Audit Sheet (Google Sheet)</t>
  </si>
  <si>
    <t xml:space="preserve">Your shop has one address. Google might see four.
Check NAP on: footer, store pages, schema, GBP, Apple Business Connect, Bing Places, socials, directories.
One exact format. Everywhere.
Comment NAPFIX for the audit sheet. #LocalSEO</t>
  </si>
  <si>
    <t xml:space="preserve">Myth: buying links is link building for online stores</t>
  </si>
  <si>
    <t xml:space="preserve">We don't buy links. We earn them.</t>
  </si>
  <si>
    <t xml:space="preserve">link building for ecommerce</t>
  </si>
  <si>
    <t xml:space="preserve">ecommerce backlinks, earned links, digital pr for ecommerce, paid links risk, white hat link building</t>
  </si>
  <si>
    <t xml:space="preserve">We don't buy links. We earn them.
Most link building conversations with store owners start the same way.
A price list. A spreadsheet of guest post sites. A promise about DR.
But before any outreach, I want three answers:
→ Why would a journalist care about this store?
→ Why would a blogger want to link to it?
→ What on the site actually deserves a link?
If nobody can answer those, the links you get are bought, not earned. And Google's spam policies are clear that buying or selling links for ranking is a link scheme.
Earned links come from real reasons: data people want to quote, products people want to review, suppliers who stock you, press who covered you.
They take longer. They also don't disappear when you stop paying.
Comment "EARNED" and I'll send you the Earned Links Idea Bank for Online Stores.
#LinkBuilding #EcommerceSEO #DigitalPR #SEO</t>
  </si>
  <si>
    <t xml:space="preserve">#LinkBuilding #EcommerceSEO #DigitalPR #SEO</t>
  </si>
  <si>
    <t xml:space="preserve">We don't buy links. We earn them.
Before any outreach, answer:
→ Why would a journalist care?
→ Why would a blogger link?
→ What on your site deserves a link?
No answers = bought links. And Google calls paid links for ranking a link scheme.
Earned links don't vanish when you stop paying.
Share this with someone being pitched link packages.
Comment "EARNED" for the Earned Links Idea Bank.
#linkbuilding #ecommerceseo #digitalpr #backlinks #seotips #seomyths #shopify #woocommerce #onlinestore #whitehatseo #seostrategy #seoexpert</t>
  </si>
  <si>
    <t xml:space="preserve">#linkbuilding #ecommerceseo #digitalpr #backlinks #seotips #seomyths #shopify #woocommerce #onlinestore #whitehatseo #seostrategy #seoexpert</t>
  </si>
  <si>
    <t xml:space="preserve">[0-2s] VO: We don't buy links. | ON-SCREEN: WE DON'T BUY LINKS. | VISUAL: Black background, white kinetic text slams in.
[2-4s] VO: We earn them. | ON-SCREEN: WE EARN THEM. | VISUAL: Text flips, accent colour.
[4-7s] VO: Most link building starts here. | ON-SCREEN: Most link building starts here. | VISUAL: Spreadsheet of sites scrolling.
[7-8s] VO: Price lists. | ON-SCREEN: PRICE LISTS. | VISUAL: "$" tags pop.
[8-9s] VO: Guest posts. | ON-SCREEN: GUEST POSTS. | VISUAL: Stack of generic article thumbnails.
[9-10s] VO: DR scores. | ON-SCREEN: DR SCORES. | VISUAL: Big number "DR 70" flickers.
[10-14s] VO: But before any outreach, three things need to be clear. | ON-SCREEN: 3 things first. | VISUAL: Screen clears, three empty slots.
[14-17s] VO: Why would a journalist care? | ON-SCREEN: 1. Why would a journalist care? | VISUAL: Newspaper icon fills slot 1.
[17-20s] VO: Why would a blogger link to you? | ON-SCREEN: 2. Why would a blogger link? | VISUAL: Blog post icon fills slot 2.
[20-23s] VO: What on your site deserves a link? | ON-SCREEN: 3. What deserves a link? | VISUAL: Product page icon fills slot 3.
[23-26s] VO: Without those answers, links don't build authority. | ON-SCREEN: Links don't build authority. | VISUAL: Slots crack.
[26-28s] VO: They build risk. | ON-SCREEN: THEY BUILD RISK. | VISUAL: Red warning flash.
[28-32s] VO: Earned links compound. Bought links expire. | ON-SCREEN: Earned links compound. Bought links expire. | VISUAL: Two lines, one rising, one cut off.
[32-35s] VO: (none) | ON-SCREEN: Comment "EARNED" for the idea bank | VISUAL: End card with Mehrooz name +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</si>
  <si>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buy links. | ON-SCREEN: WE DON'T BUY LINKS. | VISUAL: Black background, white kinetic text slams in.
[2-4s] VO: We earn them. | ON-SCREEN: WE EARN THEM. | VISUAL: Text flips, accent colour.
[4-7s] VO: Most link building starts here. | ON-SCREEN: Most link building starts here. | VISUAL: Spreadsheet of sites scrolling.
[7-8s] VO: Price lists. | ON-SCREEN: PRICE LISTS. | VISUAL: "$" tags pop.
[8-9s] VO: Guest posts. | ON-SCREEN: GUEST POSTS. | VISUAL: Stack of generic article thumbnails.
[9-10s] VO: DR scores. | ON-SCREEN: DR SCORES. | VISUAL: Big number "DR 70" flickers.
[10-14s] VO: But before any outreach, three things need to be clear. | ON-SCREEN: 3 things first. | VISUAL: Screen clears, three empty slots.
[14-17s] VO: Why would a journalist care? | ON-SCREEN: 1. Why would a journalist care? | VISUAL: Newspaper icon fills slot 1.
[17-20s] VO: Why would a blogger link to you? | ON-SCREEN: 2. Why would a blogger link? | VISUAL: Blog post icon fills slot 2.
[20-23s] VO: What on your site deserves a link? | ON-SCREEN: 3. What deserves a link? | VISUAL: Product page icon fills slot 3.
[23-26s] VO: Without those answers, links don't build authority. | ON-SCREEN: Links don't build authority. | VISUAL: Slots crack.
[26-28s] VO: They build risk. | ON-SCREEN: THEY BUILD RISK. | VISUAL: Red warning flash.
[28-32s] VO: Earned links compound. Bought links expire. | ON-SCREEN: Earned links compound. Bought links expire. | VISUAL: Two lines, one rising, one cut off.
[32-35s] VO: (none) | ON-SCREEN: Comment "EARNED" for the idea bank | VISUAL: End card with Mehrooz name + Permanent SEO.
Final 3 s: dark/navy end card with Permanent SEO logo, 'SEO for E-commerce Brands' and 'Comment "EARNED"'. Burned-in captions. All text spelled exactly as written, sharp and legible on mobile; no extra words, no watermarks.</t>
  </si>
  <si>
    <t xml:space="preserve">EARNED</t>
  </si>
  <si>
    <t xml:space="preserve">Earned Links Idea Bank for Online Stores (PDF)</t>
  </si>
  <si>
    <t xml:space="preserve">We don't buy links. We earn them.
Before outreach, answer: why would a journalist care? Why would a blogger link? What on your site deserves a link?
No answers = bought links = risk.
Comment EARNED for the idea bank. #LinkBuilding</t>
  </si>
  <si>
    <t xml:space="preserve">Link Building for Ecommerce: Why We Don't Buy Links</t>
  </si>
  <si>
    <t xml:space="preserve">Link building for ecommerce stores works best when links are earned, not bought. Three questions to answer before any outreach, from Muhammad Mehrooz Shafique at Permanent SEO. #Shorts</t>
  </si>
  <si>
    <t xml:space="preserve">link building for ecommerce, ecommerce backlinks, paid links, digital pr, seo myths, white hat seo, shopify seo, link schemes, permanent seo, seo shorts</t>
  </si>
  <si>
    <t xml:space="preserve">Local inventory: showing "in stock nearby" on Google for your shop</t>
  </si>
  <si>
    <t xml:space="preserve">Your product is on the shelf. Google says nothing.</t>
  </si>
  <si>
    <t xml:space="preserve">local inventory ads</t>
  </si>
  <si>
    <t xml:space="preserve">in stock nearby google, google merchant center local inventory, free local listings, pickup today, local product feed</t>
  </si>
  <si>
    <t xml:space="preserve">A shopper searches for your exact product.
You have it on the shelf, two miles away.
Google shows them a competitor with an "in stock" label and a pickup option instead.
That's what happens when your physical stock isn't connected to Google.
If you sell online and have a shop, you can show local stock through Google Merchant Center. In short:
→ Link your Google Business Profile to Merchant Center
→ Make sure your online product feed is clean (IDs, titles, GTINs)
→ Submit a local inventory feed: store code, product ID, availability, price
→ Keep it updated as often as your stock changes
→ Turn on free local listings, then test local inventory ads if you run Shopping
→ Add pickup options if you offer click-and-collect
The setup details vary by country and platform, so check Google's Merchant Center help for yours.
In the video I walk through how we plan this for retail clients at Permanent SEO.
Comment "INSTOCK" and I'll send you the Local Inventory Feed Setup Checklist.
#LocalSEO #GoogleMerchantCenter #EcommerceSEO #RetailMarketing</t>
  </si>
  <si>
    <t xml:space="preserve">#LocalSEO #GoogleMerchantCenter #EcommerceSEO #RetailMarketing</t>
  </si>
  <si>
    <t xml:space="preserve">Your product is on the shelf. Google doesn't know.
To show local stock:
→ Link GBP to Merchant Center
→ Clean product feed (IDs, GTINs)
→ Local inventory feed: store code, availability, price
→ Update it as stock changes
→ Add pickup options
Check Google's help docs for your country's setup.
Save this for when you plan your feeds.
Comment "INSTOCK" for the Local Inventory Feed Setup Checklist.
#localseo #googlemerchantcenter #localinventory #ecommerceseo #googleshopping #retailmarketing #clickandcollect #shopify #woocommerce #seotips #onlinestore #storeowner</t>
  </si>
  <si>
    <t xml:space="preserve">#localseo #googlemerchantcenter #localinventory #ecommerceseo #googleshopping #retailmarketing #clickandcollect #shopify #woocommerce #seotips #onlinestore #storeowner</t>
  </si>
  <si>
    <t xml:space="preserve">Scene 1 [0-8s] VO: Someone just searched for the exact trainers you've got on the shelf. Two miles away. And Google sent them somewhere else. Brilliant. | VISUAL: Shopper on phone; split screen shows your shop shelf with the trainers.
Scene 2 [8-18s] VO: Let's be honest. Your problem isn't stock. It's that Google has no idea what's sitting in your shop right now. | VISUAL: Google results with a competitor showing an "in stock" style label; your store missing.
Scene 3 [18-28s] VO: Your website feed knows what's online. Your till knows what's in store. Google only sees half the picture. | VISUAL: Two disconnected boxes: "Online feed" and "Shop POS", a broken line between them.
Scene 4 [28-33s] VO: It's time to connect them. | VISUAL: Line snaps together.
Scene 5 [33-45s] VO: At Permanent SEO, we plan local inventory for stores with physical shops, using Google Merchant Center. | VISUAL: Merchant Center-style dashboard mockup, Permanent SEO label.
Scene 6 [45-58s] VO: Step one. Link your Google Business Profile to Merchant Center so each shop has a store code. Step two. Clean your main product feed: IDs, titles, GTINs. | VISUAL: GBP icon linking into Merchant Center; feed rows being tidied.
Scene 7 [58-72s] VO: Step three. Submit a local inventory feed: store code, product ID, availability and price. Step four. Update it as often as your stock changes, and add pickup options if you offer click-and-collect. | VISUAL: Local feed table with four columns; refresh icon spinning.
Scene 8 [72-82s] VO: Setup varies by country and platform, so we check Google's current requirements before building anything. | VISUAL: Checklist ticking "Country", "Platform", "POS".
Scene 9 [82-90s] VO: The result? [CLIENT RESULT: X local clicks / Y store visits in Z weeks]. | VISUAL: Placeholder chart labelled "[YOUR DATA]".
Scene 10 [90-102s] VO: Comment INSTOCK for the setup checklist. Or book a free e-commerce SEO audit with Permanent SEO. | VISUAL: End card: "Comment INSTOCK" + "Book a free e-commerce SEO audit".
Vertical cut (40s): Scenes 1, 3, 6, 7, 10.</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</si>
  <si>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Someone just searched for the exact trainers you've got on the shelf. Two miles away. And Google sent them somewhere else. Brilliant. | VISUAL: Shopper on phone; split screen shows your shop shelf with the trainers.
Scene 2 [8-18s] VO: Let's be honest. Your problem isn't stock. It's that Google has no idea what's sitting in your shop right now. | VISUAL: Google results with a competitor showing an "in stock" style label; your store missing.
Scene 3 [18-28s] VO: Your website feed knows what's online. Your till knows what's in store. Google only sees half the picture. | VISUAL: Two disconnected boxes: "Online feed" and "Shop POS", a broken line between them.
Scene 4 [28-33s] VO: It's time to connect them. | VISUAL: Line snaps together.
Scene 5 [33-45s] VO: At Permanent SEO, we plan local inventory for stores with physical shops, using Google Merchant Center. | VISUAL: Merchant Center-style dashboard mockup, Permanent SEO label.
Scene 6 [45-58s] VO: Step one. Link your Google Business Profile to Merchant Center so each shop has a store code. Step two. Clean your main product feed: IDs, titles, GTINs. | VISUAL: GBP icon linking into Merchant Center; feed rows being tidied.
Scene 7 [58-72s] VO: Step three. Submit a local inventory feed: store code, product ID, availability and price. Step four. Update it as often as your stock changes, and add pickup options if you offer click-and-collect. | VISUAL: Local feed table with four columns; refresh icon spinning.
Scene 8 [72-82s] VO: Setup varies by country and platform, so we check Google's current requirements before building anything. | VISUAL: Checklist ticking "Country", "Platform", "POS".
Scene 9 [82-90s] VO: The result? [CLIENT RESULT: X local clicks / Y store visits in Z weeks]. | VISUAL: Placeholder chart labelled "[YOUR DATA]".
Scene 10 [90-102s] VO: Comment INSTOCK for the setup checklist. Or book a free e-commerce SEO audit with Permanent SEO. | VISUAL: End card: "Comment INSTOCK" + "Book a free e-commerce SEO audit".
Vertical cut (40s): Scenes 1, 3, 6, 7, 10.
End card: Permanent SEO logo + 'Comment "INSTOCK"'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</si>
  <si>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Someone just searched for the exact trainers you've got on the shelf. Two miles away. And Google sent them somewhere else. Brilliant. | VISUAL: Shopper on phone; split screen shows your shop shelf with the trainers.
Scene 2 [8-18s] VO: Let's be honest. Your problem isn't stock. It's that Google has no idea what's sitting in your shop right now. | VISUAL: Google results with a competitor showing an "in stock" style label; your store missing.
Scene 3 [18-28s] VO: Your website feed knows what's online. Your till knows what's in store. Google only sees half the picture. | VISUAL: Two disconnected boxes: "Online feed" and "Shop POS", a broken line between them.
Scene 4 [28-33s] VO: It's time to connect them. | VISUAL: Line snaps together.
Scene 5 [33-45s] VO: At Permanent SEO, we plan local inventory for stores with physical shops, using Google Merchant Center. | VISUAL: Merchant Center-style dashboard mockup, Permanent SEO label.
Scene 6 [45-58s] VO: Step one. Link your Google Business Profile to Merchant Center so each shop has a store code. Step two. Clean your main product feed: IDs, titles, GTINs. | VISUAL: GBP icon linking into Merchant Center; feed rows being tidied.
Scene 7 [58-72s] VO: Step three. Submit a local inventory feed: store code, product ID, availability and price. Step four. Update it as often as your stock changes, and add pickup options if you offer click-and-collect. | VISUAL: Local feed table with four columns; refresh icon spinning.
Scene 8 [72-82s] VO: Setup varies by country and platform, so we check Google's current requirements before building anything. | VISUAL: Checklist ticking "Country", "Platform", "POS".
Scene 9 [82-90s] VO: The result? [CLIENT RESULT: X local clicks / Y store visits in Z weeks]. | VISUAL: Placeholder chart labelled "[YOUR DATA]".
Scene 10 [90-102s] VO: Comment INSTOCK for the setup checklist. Or book a free e-commerce SEO audit with Permanent SEO. | VISUAL: End card: "Comment INSTOCK" + "Book a free e-commerce SEO audit".
Vertical cut (40s): Scenes 1, 3, 6, 7, 10.
Final 3 s: dark/navy end card with Permanent SEO logo, 'SEO for E-commerce Brands' and 'Comment "INSTOCK"'. Burned-in captions. All text spelled exactly as written, sharp and legible on mobile; no extra words, no watermarks.</t>
  </si>
  <si>
    <t xml:space="preserve">INSTOCK</t>
  </si>
  <si>
    <t xml:space="preserve">Local Inventory Feed Setup Checklist (Merchant Center, PDF)</t>
  </si>
  <si>
    <t xml:space="preserve">Product on your shelf. Google sends the shopper elsewhere.
Fix: link GBP to Merchant Center → clean product feed → local inventory feed (store code, availability, price) → update as stock changes.
Comment INSTOCK for the checklist. #LocalSEO</t>
  </si>
  <si>
    <t xml:space="preserve">Local Inventory Ads: Show "In Stock Nearby" for Your Shop on Google</t>
  </si>
  <si>
    <t xml:space="preserve">Local inventory ads and free local listings let shoppers see what's in stock at your physical shop. Muhammad Mehrooz Shafique from Permanent SEO explains how online stores with shops connect Google Business Profile, Merchant Center and a local inventory feed.</t>
  </si>
  <si>
    <t xml:space="preserve">local inventory ads, google merchant center, in stock nearby, free local listings, local seo, ecommerce seo, click and collect, retail seo, google shopping, permanent seo</t>
  </si>
  <si>
    <t xml:space="preserve">Case study breakdown: reclaiming links to dead product URLs</t>
  </si>
  <si>
    <t xml:space="preserve">The links you already earned are pointing at 404 pages.</t>
  </si>
  <si>
    <t xml:space="preserve">broken link reclamation</t>
  </si>
  <si>
    <t xml:space="preserve">404 backlinks, redirect old product urls, link reclamation ecommerce, discontinued products seo, backlink audit</t>
  </si>
  <si>
    <t xml:space="preserve">The fastest links we build for most stores aren't new links.
They're old ones the store already earned, pointing at pages that no longer exist.
Discontinued products. Old collection URLs. A platform migration where redirects got missed.
Here's the breakdown from [Client: UK homeware store]:
The problem
→ [X] referring domains linking to URLs that returned 404
What we did
→ Pulled every backlink target from a backlink tool + Search Console links report
→ Crawled them and filtered to 404 / 410
→ Mapped each one to the closest live page (replacement product, parent category, or updated guide)
→ 301 redirected in bulk
→ For high-value links, asked the linking site to update the URL directly
The result
→ [CLIENT RESULT: X links recovered]
→ [CLIENT RESULT: +X% organic clicks to the redirected pages in Y weeks]
No outreach campaign. No new content. Just fixing what was broken.
Comment "RECLAIM" and I'll send you the Broken Link Reclamation SOP.
#LinkBuilding #EcommerceSEO #TechnicalSEO #CaseStudy</t>
  </si>
  <si>
    <t xml:space="preserve">#LinkBuilding #EcommerceSEO #TechnicalSEO #CaseStudy</t>
  </si>
  <si>
    <t xml:space="preserve">Your best links might be pointing at 404s.
What we did for [Client: UK homeware store]:
→ Found backlinks to dead URLs
→ Mapped each to the closest live page
→ 301 redirected in bulk
→ Asked top sites to update links
Result: [CLIENT RESULT: X links recovered]
Save this. Every store with discontinued products needs it.
Comment "RECLAIM" for the Broken Link Reclamation SOP.
#linkbuilding #brokenlinks #ecommerceseo #technicalseo #seocasestudy #backlinks #redirects #shopify #woocommerce #seotips #onlinestore #seoexpert</t>
  </si>
  <si>
    <t xml:space="preserve">#linkbuilding #brokenlinks #ecommerceseo #technicalseo #seocasestudy #backlinks #redirects #shopify #woocommerce #seotips #onlinestore #seoexpert</t>
  </si>
  <si>
    <t xml:space="preserve">Single image, 1080x1350. Case study card, three stacked panels.
Top label: CASE STUDY
Headline (bold condensed): LINKS YOU ALREADY EARNED
Sub-headline: [Client: UK homeware store] | Broken link reclamation
Panel 1 "THE PROBLEM": [X] referring domains → 404 pages (icon: broken chain)
Panel 2 "WHAT WE DID" (numbered):
1. Export backlink targets (backlink tool + Search Console)
2. Crawl and filter 404 / 410
3. Map each to closest live page
4. 301 redirect in bulk
5. Ask top sites to update the URL
Panel 3 "THE RESULT" (two big number tiles):
Tile A: [X] links recovered
Tile B: [+X%] organic clicks to redirected pages in [Y] weeks
Bottom bar: Comment "RECLAIM" for the SOP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</si>
  <si>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"The links you already earned are pointing at 404 pages."
SUBHEAD: "Case study breakdown: reclaiming links to dead product URLs"
MAIN VISUAL: the layout described below containing exactly: 
Single image, 1080x1350. Case study card, three stacked panels.
Top label: CASE STUDY
Headline (bold condensed): LINKS YOU ALREADY EARNED
Sub-headline: [Client: UK homeware store] | Broken link reclamation
Panel 1 "THE PROBLEM": [X] referring domains → 404 pages (icon: broken chain)
Panel 2 "WHAT WE DID" (numbered):
1. Export backlink targets (backlink tool + Search Console)
2. Crawl and filter 404 / 410
3. Map each to closest live page
4. 301 redirect in bulk
5. Ask top sites to update the URL
Panel 3 "THE RESULT" (two big number tiles):
Tile A: [X] links recovered
Tile B: [+X%] organic clicks to redirected pages in [Y] weeks
Bottom bar: Comment "RECLAIM" for the SOP | Permanent SEO
CTA BANNER (bottom, navy rounded box, white text, keyword in blue): Comment "RECLAIM" for Broken Link Reclamation SOP (Google Doc)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</si>
  <si>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"The links you already earned are pointing at 404 pages."
BODY (numbered points / simple visual): the 3–5 key points from this brief, shortened to max 8 words each:
Single image, 1080x1350. Case study card, three stacked panels.
Top label: CASE STUDY
Headline (bold condensed): LINKS YOU ALREADY EARNED
Sub-headline: [Client: UK homeware store] | Broken link reclamation
Panel 1 "THE PROBLEM": [X] referring domains → 404 pages (icon: broken chain)
Panel 2 "WHAT WE DID" (numbered):
1. Export backlink targets (backlink tool + Search Console)
2. Crawl and filter 404 / 410
3. Map each to closest live page
4. 301 redirect in bulk
5. Ask top sites to update the URL
Panel 3 "THE RESULT" (two big number tiles):
Tile A: [X] links recovered
Tile B: [+X%] organic clicks to redirected pages in [Y] weeks
Bottom bar: Comment "RECLAIM" for the SOP | Permanent SEO
BOTTOM BAR: Comment "RECLAIM" for Broken Link Reclamation SOP (Google Doc)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</si>
  <si>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RECLAIM</t>
  </si>
  <si>
    <t xml:space="preserve">Broken Link Reclamation SOP (Google Doc)</t>
  </si>
  <si>
    <t xml:space="preserve">The fastest links for most stores aren't new ones.
They're links you already earned, pointing at 404s from discontinued products and missed redirects.
Find → map → 301 → ask top sites to update.
Comment RECLAIM for the SOP. #SEO</t>
  </si>
  <si>
    <t xml:space="preserve">Data-led digital PR for e-commerce: 8-step campaign plan</t>
  </si>
  <si>
    <t xml:space="preserve">Your order data is a press release waiting to happen.</t>
  </si>
  <si>
    <t xml:space="preserve">digital pr for ecommerce</t>
  </si>
  <si>
    <t xml:space="preserve">data led pr, link building campaigns, ecommerce press coverage, journalist outreach, newsworthy data</t>
  </si>
  <si>
    <t xml:space="preserve">Journalists don't link to product pages.
They link to stories. And most online stores are sitting on stories without knowing it.
Anonymised order trends. Search data. A survey of your customers. A price comparison across regions.
That's data-led digital PR. Here's the process we follow:
→ Start with the headline you'd want, then find data that could prove (or disprove) it
→ Use first-party data (orders, searches, returns) or a small survey
→ Check the method holds up. Journalists ask.
→ Build one clear asset: a page with the findings, charts and method
→ Write 3–5 angles for different audiences (national, regional, trade)
→ Pitch short, with the best finding in the subject line
→ Follow up once. Then move on.
→ Track coverage, links and unlinked mentions
Not every campaign lands. That's normal. The asset still lives on your site and can keep earning links.
Full step-by-step in the carousel.
Comment "DATASTORY" and I'll send you the Data-Led PR Campaign Brief Template.
#DigitalPR #LinkBuilding #EcommerceSEO #ContentMarketing</t>
  </si>
  <si>
    <t xml:space="preserve">#DigitalPR #LinkBuilding #EcommerceSEO #ContentMarketing</t>
  </si>
  <si>
    <t xml:space="preserve">Journalists don't link to product pages. They link to stories.
Your store already has data:
→ Order trends (anonymised)
→ On-site searches
→ Returns reasons
→ Customer surveys
Turn one honest finding into a page on your site, then send a short pitch to the right journalist.
Save this for your next campaign.
Comment "DATASTORY" for the Data-Led PR Campaign Brief Template.
#digitalpr #linkbuilding #ecommerceseo #prtips #contentmarketing #dataviz #seostrategy #shopify #woocommerce #onlinestore #seotips #backlinks</t>
  </si>
  <si>
    <t xml:space="preserve">#digitalpr #linkbuilding #ecommerceseo #prtips #contentmarketing #dataviz #seostrategy #shopify #woocommerce #onlinestore #seotips #backlinks</t>
  </si>
  <si>
    <t xml:space="preserve">Slide 1: Your order data is a press release waiting to happen | 8 steps to data-led digital PR for online stores
Slide 2: Why it works | Journalists link to stories and data, not product pages. A good finding gives them a reason.
Slide 3: Step 1: Start with the headline | Write the headline you'd want. Then look for data that proves or disproves it.
Slide 4: Step 2: Pick your data source | First-party: anonymised orders, site search, returns. Or a small customer survey.
Slide 5: Step 3: Check the method | Sample size, dates, how you collected it. Write it down. Journalists ask.
Slide 6: Step 4: Build one strong asset | A page on your site: key findings, simple charts, method section.
Slide 7: Step 5: Write 3–5 angles | National, regional, trade press. Same data, different hook for each.
Slide 8: Step 6–7: Pitch short, follow up once | Best finding in the subject line. 4–5 sentences. One follow-up.
Slide 9: Step 8: Track everything | Coverage, links, unlinked mentions to chase later. Result: [YOUR CAMPAIGN DATA].
Slide 10: Want the brief template? | Comment "DATASTORY" for the Data-Led PR Campaign Brief Template. Follow Muhammad Mehrooz Shafique for more.</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</si>
  <si>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Your order data is a press release waiting to happen | 8 steps to data-led digital PR for online stores
Slide 2: Why it works | Journalists link to stories and data, not product pages. A good finding gives them a reason.
Slide 3: Step 1: Start with the headline | Write the headline you'd want. Then look for data that proves or disproves it.
Slide 4: Step 2: Pick your data source | First-party: anonymised orders, site search, returns. Or a small customer survey.
Slide 5: Step 3: Check the method | Sample size, dates, how you collected it. Write it down. Journalists ask.
Slide 6: Step 4: Build one strong asset | A page on your site: key findings, simple charts, method section.
Slide 7: Step 5: Write 3–5 angles | National, regional, trade press. Same data, different hook for each.
Slide 8: Step 6–7: Pitch short, follow up once | Best finding in the subject line. 4–5 sentences. One follow-up.
Slide 9: Step 8: Track everything | Coverage, links, unlinked mentions to chase later. Result: [YOUR CAMPAIGN DATA].
Slide 10: Want the brief template? | Comment "DATASTORY" for the Data-Led PR Campaign Brief Template. Follow Muhammad Mehrooz Shafique for more.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</si>
  <si>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Your order data is a press release waiting to happen | 8 steps to data-led digital PR for online stores
Slide 2: Why it works | Journalists link to stories and data, not product pages. A good finding gives them a reason.
Slide 3: Step 1: Start with the headline | Write the headline you'd want. Then look for data that proves or disproves it.
Slide 4: Step 2: Pick your data source | First-party: anonymised orders, site search, returns. Or a small customer survey.
Slide 5: Step 3: Check the method | Sample size, dates, how you collected it. Write it down. Journalists ask.
Slide 6: Step 4: Build one strong asset | A page on your site: key findings, simple charts, method section.
Slide 7: Step 5: Write 3–5 angles | National, regional, trade press. Same data, different hook for each.
Slide 8: Step 6–7: Pitch short, follow up once | Best finding in the subject line. 4–5 sentences. One follow-up.
Slide 9: Step 8: Track everything | Coverage, links, unlinked mentions to chase later. Result: [YOUR CAMPAIGN DATA].
Slide 10: Want the brief template? | Comment "DATASTORY" for the Data-Led PR Campaign Brief Template. Follow Muhammad Mehrooz Shafique for more.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</si>
  <si>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DATASTORY</t>
  </si>
  <si>
    <t xml:space="preserve">Data-Led PR Campaign Brief Template (Google Doc)</t>
  </si>
  <si>
    <t xml:space="preserve">Journalists don't link to product pages. They link to stories. Here's how online stores run data-led digital PR.
---
1/ Start with the headline you'd want. Then find data that proves or disproves it.
---
2/ Use first-party data: anonymised orders, site search, returns reasons. Or a small customer survey.
---
3/ Check the method. Sample size, dates, collection. Journalists will ask.
---
4/ Build one page on your site: findings, simple charts, method. Then write 3–5 angles for national, regional and trade press.
---
5/ Pitch short. Best finding in the subject line. Follow up once. Track coverage and unlinked mentions.
---
6/ Comment DATASTORY for the campaign brief template. #DigitalPR #SEO</t>
  </si>
  <si>
    <t xml:space="preserve">How small online stores can run data-led PR without a big agency budget</t>
  </si>
  <si>
    <t xml:space="preserve">Most stores think digital PR needs a big budget. The hard part is having a finding worth reporting, and stores often already have one.
A process that works at small scale:
1. Write the headline you'd love to see first. Then check whether your data can support it. If it can't, drop it.
2. Use data you own: anonymised order trends by region or season, internal site search terms, return reasons. A short customer survey also works if the sample is honest.
3. Document the method: date range, sample size, how it was collected. Journalists will ask, and vague answers kill coverage.
4. Publish one page on your own site with the findings, a few clear charts and the method. That's what earns the link.
5. Write angles for national, regional and trade outlets.
6. Keep pitches to a few sentences with the strongest finding in the subject line. Follow up once.
7. Track coverage and note mentions that didn't link, so you can ask for the link later.
Plenty of campaigns get little pickup. The page stays on your site and can attract links over time.
What's the most unexpected data source you've used for a PR campaign?</t>
  </si>
  <si>
    <t xml:space="preserve">E-commerce link sources ranked by effort, relevance and risk</t>
  </si>
  <si>
    <t xml:space="preserve">Every e-commerce link source, ranked by effort and risk</t>
  </si>
  <si>
    <t xml:space="preserve">ecommerce link building strategies</t>
  </si>
  <si>
    <t xml:space="preserve">backlinks for online stores, supplier links, digital pr, unlinked brand mentions, link schemes</t>
  </si>
  <si>
    <t xml:space="preserve">Not all links are worth the same effort.
When a store owner asks "where should we get links?", I show them this matrix.
It's our working view at Permanent SEO, not a study. But it saves a lot of wasted outreach.
Low effort, high relevance:
→ Supplier and manufacturer "where to buy" pages
→ Unlinked brand mentions
→ Broken link reclamation
Medium effort:
→ Blogger product reviews (gifted links should be marked sponsored or nofollow)
→ Local press, sponsorships, community events
→ Expert quotes for journalists
High effort, high upside:
→ Data-led digital PR
→ Original tools or calculators
Don't touch:
❌ Private blog networks
❌ Paid links passing ranking value
❌ Mass guest posting on sites that exist only to sell posts
Start at the top. Most stores haven't finished the easy wins before paying for the hard ones.
Comment "LINKMAP" and I'll send you the E-commerce Link Source Matrix.
#LinkBuilding #EcommerceSEO #DigitalPR #SEOStrategy</t>
  </si>
  <si>
    <t xml:space="preserve">#LinkBuilding #EcommerceSEO #DigitalPR #SEOStrategy</t>
  </si>
  <si>
    <t xml:space="preserve">Where should an online store get links?
Start easy:
→ Supplier "where to buy" pages
→ Unlinked brand mentions
→ Broken link reclamation
Then:
→ Blogger reviews (marked sponsored)
→ Local press
→ Data-led PR
Never:
❌ PBNs
❌ Paid links
Most stores skip the easy wins and pay for the hard ones.
Save this before your next link plan.
Comment "LINKMAP" for the E-commerce Link Source Matrix.
#linkbuilding #ecommerceseo #backlinks #digitalpr #seostrategy #seotips #shopify #woocommerce #onlinestore #whitehatseo #seoexpert #linkbuildingtips</t>
  </si>
  <si>
    <t xml:space="preserve">#linkbuilding #ecommerceseo #backlinks #digitalpr #seostrategy #seotips #shopify #woocommerce #onlinestore #whitehatseo #seoexpert #linkbuildingtips</t>
  </si>
  <si>
    <t xml:space="preserve">Single image, 1080x1350 (IG) / 1200x1500 (LinkedIn). Comparison table infographic.
Headline (bold condensed): E-COMMERCE LINK SOURCES, RANKED
Sub-headline: Effort vs relevance vs risk | Our working view, not a study
Table columns: Link source | Effort | Relevance | Risk
Rows (effort/relevance shown as 1–3 filled dots; risk as green/amber/red pill):
1. Supplier &amp; manufacturer "where to buy" pages | ●○○ | ●●● | Green
2. Unlinked brand mentions | ●○○ | ●●○ | Green
3. Broken link reclamation | ●○○ | ●●○ | Green
4. Blogger product reviews (sponsored/nofollow) | ●●○ | ●●● | Green
5. Local press &amp; sponsorships | ●●○ | ●●○ | Green
6. Expert quotes for journalists | ●●○ | ●●○ | Green
7. Data-led digital PR | ●●● | ●●● | Green
8. Mass guest posts on "write for us" sites | ●●○ | ●○○ | Amber
9. PBNs / paid links passing ranking value | ●○○ | ●○○ | Red ❌
Arrow down the left side labelled "START HERE ↓"
Bottom bar: Comment "LINKMAP" for the full matrix | Muhammad Mehrooz Shafique,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</si>
  <si>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"Every e-commerce link source, ranked by effort and risk"
SUBHEAD: "E-commerce link sources ranked by effort, relevance and risk"
MAIN VISUAL: the layout described below containing exactly: 
Single image, 1080x1350 (IG) / 1200x1500 (LinkedIn). Comparison table infographic.
Headline (bold condensed): E-COMMERCE LINK SOURCES, RANKED
Sub-headline: Effort vs relevance vs risk | Our working view, not a study
Table columns: Link source | Effort | Relevance | Risk
Rows (effort/relevance shown as 1–3 filled dots; risk as green/amber/red pill):
1. Supplier &amp; manufacturer "where to buy" pages | ●○○ | ●●● | Green
2. Unlinked brand mentions | ●○○ | ●●○ | Green
3. Broken link reclamation | ●○○ | ●●○ | Green
4. Blogger product reviews (sponsored/nofollow) | ●●○ | ●●● | Green
5. Local press &amp; sponsorships | ●●○ | ●●○ | Green
6. Expert quotes for journalists | ●●○ | ●●○ | Green
7. Data-led digital PR | ●●● | ●●● | Green
8. Mass guest posts on "write for us" sites | ●●○ | ●○○ | Amber
9. PBNs / paid links passing ranking value | ●○○ | ●○○ | Red ❌
Arrow down the left side labelled "START HERE ↓"
Bottom bar: Comment "LINKMAP" for the full matrix | Muhammad Mehrooz Shafique, Permanent SEO
CTA BANNER (bottom, navy rounded box, white text, keyword in blue): Comment "LINKMAP" for E-commerce Link Source Matrix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</si>
  <si>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"Every e-commerce link source, ranked by effort and risk"
BODY (numbered points / simple visual): the 3–5 key points from this brief, shortened to max 8 words each:
Single image, 1080x1350 (IG) / 1200x1500 (LinkedIn). Comparison table infographic.
Headline (bold condensed): E-COMMERCE LINK SOURCES, RANKED
Sub-headline: Effort vs relevance vs risk | Our working view, not a study
Table columns: Link source | Effort | Relevance | Risk
Rows (effort/relevance shown as 1–3 filled dots; risk as green/amber/red pill):
1. Supplier &amp; manufacturer "where to buy" pages | ●○○ | ●●● | Green
2. Unlinked brand mentions | ●○○ | ●●○ | Green
3. Broken link reclamation | ●○○ | ●●○ | Green
4. Blogger product reviews (sponsored/nofollow) | ●●○ | ●●● | Green
5. Local press &amp; sponsorships | ●●○ | ●●○ | Green
6. Expert quotes for journalists | ●●○ | ●●○ | Green
7. Data-led digital PR | ●●● | ●●● | Green
8. Mass guest posts on "write for us" sites | ●●○ | ●○○ | Amber
9. PBNs / paid links passing ranking value | ●○○ | ●○○ | Red ❌
Arrow down the left side labelled "START HERE ↓"
Bottom bar: Comment "LINKMAP" for the full matrix | Muhammad Mehrooz Shafique, Permanent SEO
BOTTOM BAR: Comment "LINKMAP" for E-commerce Link Source Matrix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</si>
  <si>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LINKMAP</t>
  </si>
  <si>
    <t xml:space="preserve">E-commerce Link Source Matrix (Google Sheet)</t>
  </si>
  <si>
    <t xml:space="preserve">Where should an online store get links?
Easy: supplier "where to buy" pages, unlinked mentions, broken link reclamation.
Then: blogger reviews, local press, data-led PR.
Never: PBNs, paid links.
Comment LINKMAP for the matrix. #LinkBuilding</t>
  </si>
  <si>
    <t xml:space="preserve">Myth: high-DR links are always good links</t>
  </si>
  <si>
    <t xml:space="preserve">We don't chase DR. We chase relevance.</t>
  </si>
  <si>
    <t xml:space="preserve">toxic backlinks</t>
  </si>
  <si>
    <t xml:space="preserve">link schemes, pbn links, buying backlinks, google spam policies, domain rating myth</t>
  </si>
  <si>
    <t xml:space="preserve">We don't chase DR. We chase relevance.
Every week a store owner forwards me a link seller's email. High DR. Fast turnaround. "Permanent" links.
Before paying for any link, I ask three questions:
→ Would this site exist if it couldn't sell links?
→ Would its readers ever buy from this store?
→ Would I be happy showing this link to Google?
If the answer to any of them is no, it's not an asset. It's exposure.
Google's spam policies list buying links, PBN-style networks and large-scale guest posting with keyword-rich anchors as link schemes. Google can also simply ignore those links, so you pay for nothing.
DR is a third-party metric. Google doesn't use it.
A smaller, relevant site that your customers actually read is worth more than a big number on a site nobody visits.
Comment "NOPBN" and I'll send you the Link Scheme Red-Flag Checklist.
#LinkBuilding #SEO #EcommerceSEO #SEOMyths</t>
  </si>
  <si>
    <t xml:space="preserve">#LinkBuilding #SEO #EcommerceSEO #SEOMyths</t>
  </si>
  <si>
    <t xml:space="preserve">We don't chase DR. We chase relevance.
Before buying any link, ask:
→ Would this site exist without selling links?
→ Would its readers buy from you?
→ Would you show this link to Google?
Any "no" = risk, not an asset.
DR is a third-party metric. Google doesn't use it.
Share this with a store owner getting link-seller emails.
Comment "NOPBN" for the Link Scheme Red-Flag Checklist.
#seomyths #linkbuilding #backlinks #toxicbacklinks #ecommerceseo #seotips #googlespam #whitehatseo #shopify #woocommerce #seostrategy #seoexpert</t>
  </si>
  <si>
    <t xml:space="preserve">#seomyths #linkbuilding #backlinks #toxicbacklinks #ecommerceseo #seotips #googlespam #whitehatseo #shopify #woocommerce #seostrategy #seoexpert</t>
  </si>
  <si>
    <t xml:space="preserve">[0-2s] VO: We don't chase DR. | ON-SCREEN: WE DON'T CHASE DR. | VISUAL: Big "DR 80" number shatters.
[2-4s] VO: We chase relevance. | ON-SCREEN: WE CHASE RELEVANCE. | VISUAL: Text settles in accent colour.
[4-7s] VO: Most link sellers pitch this. | ON-SCREEN: Most link sellers pitch this. | VISUAL: Spammy email inbox mock.
[7-8s] VO: Metrics. | ON-SCREEN: METRICS. | VISUAL: Gauge needle.
[8-9s] VO: Volume. | ON-SCREEN: VOLUME. | VISUAL: Stack of 100 link icons.
[9-10s] VO: Speed. | ON-SCREEN: SPEED. | VISUAL: Stopwatch.
[10-14s] VO: But before you pay for any link, three things need to be clear. | ON-SCREEN: 3 questions first. | VISUAL: Clean frame, three numbered slots.
[14-17s] VO: Would this site exist without selling links? | ON-SCREEN: 1. Would it exist without selling links? | VISUAL: Website wireframe with "Write for us" banner.
[17-20s] VO: Would its readers ever buy from you? | ON-SCREEN: 2. Would its readers buy from you? | VISUAL: Empty shopping cart icon.
[20-23s] VO: Would you show this link to Google? | ON-SCREEN: 3. Would you show it to Google? | VISUAL: Magnifying glass over a link.
[23-27s] VO: Without those answers, links don't build rankings. | ON-SCREEN: Links don't build rankings. | VISUAL: Ranking line flatlines.
[27-30s] VO: They build exposure. | ON-SCREEN: THEY BUILD EXPOSURE. | VISUAL: Red warning flash.
[30-33s] VO: A link you'd hide is a link you shouldn't have. | ON-SCREEN: A link you'd hide is a link you shouldn't have. | VISUAL: Text fades to centre.
[33-35s] VO: (none) | ON-SCREEN: Comment "NOPBN" for the red-flag checklist | VISUAL: End card,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</si>
  <si>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chase DR. | ON-SCREEN: WE DON'T CHASE DR. | VISUAL: Big "DR 80" number shatters.
[2-4s] VO: We chase relevance. | ON-SCREEN: WE CHASE RELEVANCE. | VISUAL: Text settles in accent colour.
[4-7s] VO: Most link sellers pitch this. | ON-SCREEN: Most link sellers pitch this. | VISUAL: Spammy email inbox mock.
[7-8s] VO: Metrics. | ON-SCREEN: METRICS. | VISUAL: Gauge needle.
[8-9s] VO: Volume. | ON-SCREEN: VOLUME. | VISUAL: Stack of 100 link icons.
[9-10s] VO: Speed. | ON-SCREEN: SPEED. | VISUAL: Stopwatch.
[10-14s] VO: But before you pay for any link, three things need to be clear. | ON-SCREEN: 3 questions first. | VISUAL: Clean frame, three numbered slots.
[14-17s] VO: Would this site exist without selling links? | ON-SCREEN: 1. Would it exist without selling links? | VISUAL: Website wireframe with "Write for us" banner.
[17-20s] VO: Would its readers ever buy from you? | ON-SCREEN: 2. Would its readers buy from you? | VISUAL: Empty shopping cart icon.
[20-23s] VO: Would you show this link to Google? | ON-SCREEN: 3. Would you show it to Google? | VISUAL: Magnifying glass over a link.
[23-27s] VO: Without those answers, links don't build rankings. | ON-SCREEN: Links don't build rankings. | VISUAL: Ranking line flatlines.
[27-30s] VO: They build exposure. | ON-SCREEN: THEY BUILD EXPOSURE. | VISUAL: Red warning flash.
[30-33s] VO: A link you'd hide is a link you shouldn't have. | ON-SCREEN: A link you'd hide is a link you shouldn't have. | VISUAL: Text fades to centre.
[33-35s] VO: (none) | ON-SCREEN: Comment "NOPBN" for the red-flag checklist | VISUAL: End card, Permanent SEO.
Final 3 s: dark/navy end card with Permanent SEO logo, 'SEO for E-commerce Brands' and 'Comment "NOPBN"'. Burned-in captions. All text spelled exactly as written, sharp and legible on mobile; no extra words, no watermarks.</t>
  </si>
  <si>
    <t xml:space="preserve">NOPBN</t>
  </si>
  <si>
    <t xml:space="preserve">Link Scheme Red-Flag Checklist (PDF)</t>
  </si>
  <si>
    <t xml:space="preserve">We don't chase DR. We chase relevance.
Before buying a link: would the site exist without selling links? Would its readers buy from you? Would you show it to Google?
A link you'd hide is a link you shouldn't have.
Comment NOPBN. #SEO</t>
  </si>
  <si>
    <t xml:space="preserve">Toxic Backlinks: Why High DR Links Can Still Hurt Your Store</t>
  </si>
  <si>
    <t xml:space="preserve">Toxic backlinks and link schemes look attractive when the DR is high. Three questions to ask before paying for any link to your online store, from Muhammad Mehrooz Shafique at Permanent SEO. #Shorts</t>
  </si>
  <si>
    <t xml:space="preserve">toxic backlinks, link schemes, pbn links, buying backlinks, domain rating, google spam policies, ecommerce seo, link building, seo myths, seo shorts</t>
  </si>
  <si>
    <t xml:space="preserve">Supplier and manufacturer links: the easiest links a store can get</t>
  </si>
  <si>
    <t xml:space="preserve">Your suppliers list you as a stockist. Do they link?</t>
  </si>
  <si>
    <t xml:space="preserve">manufacturer backlinks</t>
  </si>
  <si>
    <t xml:space="preserve">supplier links, where to buy page, stockist links, brand partner links, ecommerce link building</t>
  </si>
  <si>
    <t xml:space="preserve">If you stock other brands, you probably have links waiting for you right now.
Most manufacturers have a "Where to buy" or "Stockists" page. Plenty of them list retailers with no link, an old URL, or a link to the homepage.
These are some of the most relevant links an online store can get. Same products, same audience, already a business relationship.
How we approach it at Permanent SEO:
→ List every brand you stock and check their stockist page
→ Note: no link, broken link, homepage link, or right link
→ Ask your account manager, not a generic inbox
→ Request a link to your brand collection page, not the homepage
→ Offer something useful back: product photos, a review, a case story
→ Repeat for distributors, trade associations and awards you've won
If you make your own products, flip it: give your stockists a link-ready badge and the right URL.
The video shows the full process.
Comment "SUPPLIER" and I'll send you the Supplier Link Request Email Templates.
#LinkBuilding #EcommerceSEO #Retail #SEOTips</t>
  </si>
  <si>
    <t xml:space="preserve">#LinkBuilding #EcommerceSEO #Retail #SEOTips</t>
  </si>
  <si>
    <t xml:space="preserve">Easiest links for an online store?
Your suppliers' "Where to buy" pages.
→ List every brand you stock
→ Check: no link, broken, homepage, or right link
→ Ask your account manager
→ Request your brand collection page
→ Offer photos or a review back
Save this and check your brands this week.
Comment "SUPPLIER" for the Supplier Link Request Email Templates.
#linkbuilding #ecommerceseo #backlinks #retailseo #seotips #stockist #wholesale #shopify #woocommerce #onlinestore #seostrategy #seoexpert</t>
  </si>
  <si>
    <t xml:space="preserve">#linkbuilding #ecommerceseo #backlinks #retailseo #seotips #stockist #wholesale #shopify #woocommerce #onlinestore #seostrategy #seoexpert</t>
  </si>
  <si>
    <t xml:space="preserve">Scene 1 [0-8s] VO: You've stocked this brand for six years. Their "Where to buy" page lists you. In plain text. No link. Right. | VISUAL: Store owner scrolling a manufacturer stockist page; store name highlighted, no link.
Scene 2 [8-18s] VO: Let's be honest. Your problem isn't a lack of links out there. It's that the most relevant ones are already sitting there, unclaimed. | VISUAL: Grid of brand logos, each with a dotted, unconnected line to your store.
Scene 3 [18-28s] VO: Meanwhile you're paying for guest posts on sites your customers will never read. | VISUAL: Generic "write for us" sites with price tags.
Scene 4 [28-32s] VO: It's time to change that. | VISUAL: Clean cut.
Scene 5 [32-44s] VO: At Permanent SEO, we start link building with the businesses you already work with. Same products. Same audience. Real relationship. | VISUAL: Network diagram: Store in centre, suppliers, distributors, associations around it.
Scene 6 [44-58s] VO: Step one. List every brand you stock and check their stockist page. No link, broken link, homepage link, or the right one. | VISUAL: Spreadsheet filling with four status colours.
Scene 7 [58-72s] VO: Step two. Ask your account manager, not a generic inbox. Step three. Request a link to your brand collection page, not your homepage. | VISUAL: Email being sent to a named contact; URL changing from homepage to /collections/brand-name.
Scene 8 [72-84s] VO: Step four. Offer something back. Product photos, a review, a customer story. Then repeat for distributors, trade bodies and awards. | VISUAL: Gift box icon; list expanding.
Scene 9 [84-92s] VO: No spam. No link farms. The result? [CLIENT RESULT: X new supplier links in Y weeks]. | VISUAL: Placeholder counter "[YOUR DATA]".
Scene 10 [92-104s] VO: Comment SUPPLIER for the email templates. Or book a free e-commerce SEO audit with Permanent SEO. | VISUAL: End card: "Comment SUPPLIER" + "Book a free e-commerce SEO audit".
Vertical cut (40s): Scenes 1, 2, 6, 7, 10.</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</si>
  <si>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You've stocked this brand for six years. Their "Where to buy" page lists you. In plain text. No link. Right. | VISUAL: Store owner scrolling a manufacturer stockist page; store name highlighted, no link.
Scene 2 [8-18s] VO: Let's be honest. Your problem isn't a lack of links out there. It's that the most relevant ones are already sitting there, unclaimed. | VISUAL: Grid of brand logos, each with a dotted, unconnected line to your store.
Scene 3 [18-28s] VO: Meanwhile you're paying for guest posts on sites your customers will never read. | VISUAL: Generic "write for us" sites with price tags.
Scene 4 [28-32s] VO: It's time to change that. | VISUAL: Clean cut.
Scene 5 [32-44s] VO: At Permanent SEO, we start link building with the businesses you already work with. Same products. Same audience. Real relationship. | VISUAL: Network diagram: Store in centre, suppliers, distributors, associations around it.
Scene 6 [44-58s] VO: Step one. List every brand you stock and check their stockist page. No link, broken link, homepage link, or the right one. | VISUAL: Spreadsheet filling with four status colours.
Scene 7 [58-72s] VO: Step two. Ask your account manager, not a generic inbox. Step three. Request a link to your brand collection page, not your homepage. | VISUAL: Email being sent to a named contact; URL changing from homepage to /collections/brand-name.
Scene 8 [72-84s] VO: Step four. Offer something back. Product photos, a review, a customer story. Then repeat for distributors, trade bodies and awards. | VISUAL: Gift box icon; list expanding.
Scene 9 [84-92s] VO: No spam. No link farms. The result? [CLIENT RESULT: X new supplier links in Y weeks]. | VISUAL: Placeholder counter "[YOUR DATA]".
Scene 10 [92-104s] VO: Comment SUPPLIER for the email templates. Or book a free e-commerce SEO audit with Permanent SEO. | VISUAL: End card: "Comment SUPPLIER" + "Book a free e-commerce SEO audit".
Vertical cut (40s): Scenes 1, 2, 6, 7, 10.
End card: Permanent SEO logo + 'Comment "SUPPLIER"'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</si>
  <si>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You've stocked this brand for six years. Their "Where to buy" page lists you. In plain text. No link. Right. | VISUAL: Store owner scrolling a manufacturer stockist page; store name highlighted, no link.
Scene 2 [8-18s] VO: Let's be honest. Your problem isn't a lack of links out there. It's that the most relevant ones are already sitting there, unclaimed. | VISUAL: Grid of brand logos, each with a dotted, unconnected line to your store.
Scene 3 [18-28s] VO: Meanwhile you're paying for guest posts on sites your customers will never read. | VISUAL: Generic "write for us" sites with price tags.
Scene 4 [28-32s] VO: It's time to change that. | VISUAL: Clean cut.
Scene 5 [32-44s] VO: At Permanent SEO, we start link building with the businesses you already work with. Same products. Same audience. Real relationship. | VISUAL: Network diagram: Store in centre, suppliers, distributors, associations around it.
Scene 6 [44-58s] VO: Step one. List every brand you stock and check their stockist page. No link, broken link, homepage link, or the right one. | VISUAL: Spreadsheet filling with four status colours.
Scene 7 [58-72s] VO: Step two. Ask your account manager, not a generic inbox. Step three. Request a link to your brand collection page, not your homepage. | VISUAL: Email being sent to a named contact; URL changing from homepage to /collections/brand-name.
Scene 8 [72-84s] VO: Step four. Offer something back. Product photos, a review, a customer story. Then repeat for distributors, trade bodies and awards. | VISUAL: Gift box icon; list expanding.
Scene 9 [84-92s] VO: No spam. No link farms. The result? [CLIENT RESULT: X new supplier links in Y weeks]. | VISUAL: Placeholder counter "[YOUR DATA]".
Scene 10 [92-104s] VO: Comment SUPPLIER for the email templates. Or book a free e-commerce SEO audit with Permanent SEO. | VISUAL: End card: "Comment SUPPLIER" + "Book a free e-commerce SEO audit".
Vertical cut (40s): Scenes 1, 2, 6, 7, 10.
Final 3 s: dark/navy end card with Permanent SEO logo, 'SEO for E-commerce Brands' and 'Comment "SUPPLIER"'. Burned-in captions. All text spelled exactly as written, sharp and legible on mobile; no extra words, no watermarks.</t>
  </si>
  <si>
    <t xml:space="preserve">SUPPLIER</t>
  </si>
  <si>
    <t xml:space="preserve">Supplier Link Request Email Templates (3 scripts, Google Doc)</t>
  </si>
  <si>
    <t xml:space="preserve">Easiest links for an online store: your suppliers' "Where to buy" pages.
Check each brand you stock → ask your account manager → request a link to your brand collection page.
Comment SUPPLIER for the email templates. #LinkBuilding</t>
  </si>
  <si>
    <t xml:space="preserve">Manufacturer Backlinks: Get Links From Brands You Already Stock</t>
  </si>
  <si>
    <t xml:space="preserve">Manufacturer backlinks from stockist and where-to-buy pages are some of the most relevant links an online store can earn. Muhammad Mehrooz Shafique from Permanent SEO shows the 4-step process for claiming supplier links.</t>
  </si>
  <si>
    <t xml:space="preserve">manufacturer backlinks, supplier links, stockist page, where to buy page, ecommerce link building, link building, retail seo, shopify seo, permanent seo, white hat link building</t>
  </si>
  <si>
    <t xml:space="preserve">Workflow share: turning unlinked brand mentions into links</t>
  </si>
  <si>
    <t xml:space="preserve">People already talk about your store. They just forgot to link.</t>
  </si>
  <si>
    <t xml:space="preserve">unlinked brand mentions</t>
  </si>
  <si>
    <t xml:space="preserve">brand mention link building, google alerts seo, link reclamation, mention monitoring, outreach email template</t>
  </si>
  <si>
    <t xml:space="preserve">People are already writing about your store.
Gift guides. Forum threads. Local news. Blog posts comparing brands.
Some of them link. Many don't.
Those unlinked mentions are the warmest outreach you'll ever do. The writer already likes you enough to name you.
Here's the 4-step workflow we use at Permanent SEO:
1. Find them
→ Google: "your brand" -site:yourstore.com
→ Google Alerts for brand + product names
→ A mention tool or backlink tool's content search
2. Filter them
→ Real site, real audience, no link yet
3. Ask nicely
→ Short email. Thank them first. Suggest the exact URL (product or collection, not homepage).
4. Track them
→ Sheet with URL, contact, date asked, outcome
The email template is in the image. Four sentences. No pressure.
Comment "UNLINKED" and I'll send you the Unlinked Mention Workflow + Outreach Template.
#LinkBuilding #EcommerceSEO #DigitalPR #SEOTips</t>
  </si>
  <si>
    <t xml:space="preserve">#LinkBuilding #EcommerceSEO #DigitalPR #SEOTips</t>
  </si>
  <si>
    <t xml:space="preserve">People mention your store without linking.
Fix it in 4 steps:
1. Find: "brand" -site:yourstore.com
2. Filter: real site, no link
3. Ask: thank them, suggest the exact URL
4. Track it in a sheet
The writer already likes you enough to name you. It's the warmest outreach you'll ever send.
Save this and run it monthly.
Comment "UNLINKED" for the workflow + outreach template.
#linkbuilding #brandmentions #ecommerceseo #outreach #digitalpr #seotips #backlinks #shopify #woocommerce #onlinestore #seoworkflow #seoexpert</t>
  </si>
  <si>
    <t xml:space="preserve">#linkbuilding #brandmentions #ecommerceseo #outreach #digitalpr #seotips #backlinks #shopify #woocommerce #onlinestore #seoworkflow #seoexpert</t>
  </si>
  <si>
    <t xml:space="preserve">Single image, 1080x1350. Left half: 4-step vertical workflow. Right half: email template card.
Headline (top, bold condensed): THEY MENTIONED YOU. ASK FOR THE LINK.
Sub-headline: Unlinked brand mention workflow for online stores
Left column, 4 numbered steps with icons:
1. FIND | "your brand" -site:yourstore.com + Google Alerts + mention tool
2. FILTER | Real site, real audience, no link yet
3. ASK | Thank first. Suggest the exact URL.
4. TRACK | URL, contact, date, outcome
Right column, email card (styled like an email window):
Subject: Thanks for mentioning [Store Name]
"Hi [Name], thanks for including [Store Name] in your [article title]. Really appreciated. If it's useful for your readers, here's the direct page for the [product] you mentioned: [URL]. Either way, thanks again."
Bottom bar: Comment "UNLINKED" for the full workflow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</si>
  <si>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"People already talk about your store. They just forgot to link."
SUBHEAD: "Workflow share: turning unlinked brand mentions into links"
MAIN VISUAL: the layout described below containing exactly: 
Single image, 1080x1350. Left half: 4-step vertical workflow. Right half: email template card.
Headline (top, bold condensed): THEY MENTIONED YOU. ASK FOR THE LINK.
Sub-headline: Unlinked brand mention workflow for online stores
Left column, 4 numbered steps with icons:
1. FIND | "your brand" -site:yourstore.com + Google Alerts + mention tool
2. FILTER | Real site, real audience, no link yet
3. ASK | Thank first. Suggest the exact URL.
4. TRACK | URL, contact, date, outcome
Right column, email card (styled like an email window):
Subject: Thanks for mentioning [Store Name]
"Hi [Name], thanks for including [Store Name] in your [article title]. Really appreciated. If it's useful for your readers, here's the direct page for the [product] you mentioned: [URL]. Either way, thanks again."
Bottom bar: Comment "UNLINKED" for the full workflow | Permanent SEO
CTA BANNER (bottom, navy rounded box, white text, keyword in blue): Comment "UNLINKED" for Unlinked Mention Workflow + Outreach Template (Google Sheet + Doc)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</si>
  <si>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"People already talk about your store. They just forgot to link."
BODY (numbered points / simple visual): the 3–5 key points from this brief, shortened to max 8 words each:
Single image, 1080x1350. Left half: 4-step vertical workflow. Right half: email template card.
Headline (top, bold condensed): THEY MENTIONED YOU. ASK FOR THE LINK.
Sub-headline: Unlinked brand mention workflow for online stores
Left column, 4 numbered steps with icons:
1. FIND | "your brand" -site:yourstore.com + Google Alerts + mention tool
2. FILTER | Real site, real audience, no link yet
3. ASK | Thank first. Suggest the exact URL.
4. TRACK | URL, contact, date, outcome
Right column, email card (styled like an email window):
Subject: Thanks for mentioning [Store Name]
"Hi [Name], thanks for including [Store Name] in your [article title]. Really appreciated. If it's useful for your readers, here's the direct page for the [product] you mentioned: [URL]. Either way, thanks again."
Bottom bar: Comment "UNLINKED" for the full workflow | Permanent SEO
BOTTOM BAR: Comment "UNLINKED" for Unlinked Mention Workflow + Outreach Template (Google Sheet + Doc)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</si>
  <si>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UNLINKED</t>
  </si>
  <si>
    <t xml:space="preserve">Unlinked Mention Workflow + Outreach Template (Google Sheet + Doc)</t>
  </si>
  <si>
    <t xml:space="preserve">People already mention your store. Many forgot to link.
1. Find: "brand" -site:yourstore.com
2. Filter: real site, no link
3. Ask: thank them, suggest the exact URL
4. Track it
Comment UNLINKED for the template. #LinkBuilding</t>
  </si>
  <si>
    <t xml:space="preserve">Blogger product seeding for stores, done within Google's rules</t>
  </si>
  <si>
    <t xml:space="preserve">Gifting products to bloggers? Read this before the first parcel.</t>
  </si>
  <si>
    <t xml:space="preserve">blogger outreach for product reviews</t>
  </si>
  <si>
    <t xml:space="preserve">product seeding, gifted product reviews, rel sponsored, influencer reviews seo, review outreach</t>
  </si>
  <si>
    <t xml:space="preserve">Sending free products to bloggers is one of the best ways for a store to get reviewed.
It's also easy to get wrong.
Google's guidance says links in reviews of gifted products should be marked rel="sponsored" or "nofollow". In the UK and US, the reviewer also has to disclose the gift.
So why do it?
→ Real reviews from people your customers trust
→ Referral traffic and sales
→ Content and photos you can reuse (with permission)
→ Brand mentions and searches for your name
→ Relationships that lead to editorial links later
How we run a seeding programme:
→ Shortlist creators whose readers match your buyer
→ Pitch personally, no mass templates
→ Ask for an honest review, never a guaranteed positive one
→ Send a short brief: product facts, URL, disclosure reminder
→ Track who posted, link type, traffic and sales
The carousel walks through every step.
Comment "SEEDING" and I'll send you the Blogger Product Seeding Tracker + Brief Template.
#EcommerceSEO #InfluencerMarketing #LinkBuilding #DigitalPR</t>
  </si>
  <si>
    <t xml:space="preserve">#EcommerceSEO #InfluencerMarketing #LinkBuilding #DigitalPR</t>
  </si>
  <si>
    <t xml:space="preserve">Gifting products to bloggers? Do it right.
→ Gifted links = rel="sponsored" or nofollow
→ Reviewers must disclose the gift
→ Ask for honest reviews, not positive ones
Still worth it:
→ Real reviews + referral sales
→ Reusable content
→ Relationships that earn editorial links later
Save this before your next send-out.
Comment "SEEDING" for the Seeding Tracker + Brief Template.
#productseeding #bloggeroutreach #influencermarketing #ecommerceseo #linkbuilding #productreviews #digitalpr #shopify #woocommerce #onlinestore #seotips #brandawareness</t>
  </si>
  <si>
    <t xml:space="preserve">#productseeding #bloggeroutreach #influencermarketing #ecommerceseo #linkbuilding #productreviews #digitalpr #shopify #woocommerce #onlinestore #seotips #brandawareness</t>
  </si>
  <si>
    <t xml:space="preserve">Slide 1: Gifting products to bloggers? | Read this before the first parcel goes out
Slide 2: The rule most stores miss | Google: links in reviews of gifted products should be rel="sponsored" or "nofollow".
Slide 3: Disclosure isn't optional | Reviewers must disclose the gift (FTC in the US, ASA/CAP in the UK).
Slide 4: So why bother? | Real reviews. Referral sales. Reusable content. Brand searches. Relationships.
Slide 5: Step 1: Shortlist by audience, not followers | Would their readers buy your product? That's the filter.
Slide 6: Step 2: Pitch personally | Mention a post you liked. Explain why your product fits their readers.
Slide 7: Step 3: Ask for honesty | Never ask for a guaranteed positive review. It hurts trust and can breach rules.
Slide 8: Step 4: Send a short brief | Product facts, correct URL, disclosure reminder, image usage rights.
Slide 9: Step 5: Track every send | Posted? Link type? Clicks? Sales? Result: [YOUR SEEDING DATA].
Slide 10: Want the tracker? | Comment "SEEDING" for the Seeding Tracker + Brief Template. Follow Muhammad Mehrooz Shafique.</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</si>
  <si>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Gifting products to bloggers? | Read this before the first parcel goes out
Slide 2: The rule most stores miss | Google: links in reviews of gifted products should be rel="sponsored" or "nofollow".
Slide 3: Disclosure isn't optional | Reviewers must disclose the gift (FTC in the US, ASA/CAP in the UK).
Slide 4: So why bother? | Real reviews. Referral sales. Reusable content. Brand searches. Relationships.
Slide 5: Step 1: Shortlist by audience, not followers | Would their readers buy your product? That's the filter.
Slide 6: Step 2: Pitch personally | Mention a post you liked. Explain why your product fits their readers.
Slide 7: Step 3: Ask for honesty | Never ask for a guaranteed positive review. It hurts trust and can breach rules.
Slide 8: Step 4: Send a short brief | Product facts, correct URL, disclosure reminder, image usage rights.
Slide 9: Step 5: Track every send | Posted? Link type? Clicks? Sales? Result: [YOUR SEEDING DATA].
Slide 10: Want the tracker? | Comment "SEEDING" for the Seeding Tracker + Brief Template.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</si>
  <si>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Gifting products to bloggers? | Read this before the first parcel goes out
Slide 2: The rule most stores miss | Google: links in reviews of gifted products should be rel="sponsored" or "nofollow".
Slide 3: Disclosure isn't optional | Reviewers must disclose the gift (FTC in the US, ASA/CAP in the UK).
Slide 4: So why bother? | Real reviews. Referral sales. Reusable content. Brand searches. Relationships.
Slide 5: Step 1: Shortlist by audience, not followers | Would their readers buy your product? That's the filter.
Slide 6: Step 2: Pitch personally | Mention a post you liked. Explain why your product fits their readers.
Slide 7: Step 3: Ask for honesty | Never ask for a guaranteed positive review. It hurts trust and can breach rules.
Slide 8: Step 4: Send a short brief | Product facts, correct URL, disclosure reminder, image usage rights.
Slide 9: Step 5: Track every send | Posted? Link type? Clicks? Sales? Result: [YOUR SEEDING DATA].
Slide 10: Want the tracker? | Comment "SEEDING" for the Seeding Tracker + Brief Template.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</si>
  <si>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SEEDING</t>
  </si>
  <si>
    <t xml:space="preserve">Blogger Product Seeding Tracker + Brief Template (Google Sheet + Doc)</t>
  </si>
  <si>
    <t xml:space="preserve">Gifting products to bloggers for reviews? Do it within Google's rules.
---
1/ Google's guidance: links in reviews of gifted products should be rel="sponsored" or "nofollow".
---
2/ Reviewers must disclose the gift. FTC in the US, ASA/CAP in the UK.
---
3/ Still worth it: real reviews, referral sales, reusable content, brand searches, and relationships that earn editorial links later.
---
4/ Shortlist by audience fit, not follower count. Pitch personally. Ask for an honest review, never a positive one.
---
5/ Send a short brief with the right URL and a disclosure reminder. Track posts, link types, clicks, sales.
---
6/ Comment SEEDING for the tracker + brief template. #EcommerceSEO</t>
  </si>
  <si>
    <t xml:space="preserve">If you send free products to bloggers for reviews, a few rules worth knowing</t>
  </si>
  <si>
    <t xml:space="preserve">A lot of stores send products to bloggers and creators hoping for links. It can work well, but a few things are often missed.
1. Google's guidance says links in reviews of gifted products should be marked rel="sponsored" or rel="nofollow". So a gifted review shouldn't be treated as a ranking link.
2. The reviewer has to disclose the gift. In the US that's FTC guidance; in the UK it's the ASA/CAP rules.
3. Never ask for a guaranteed positive review. It damages trust and can break those rules.
Why it's still worth doing:
- Honest reviews from people your buyers already trust
- Referral traffic and sales you can actually track
- Photos and content you can reuse with permission
- More people searching for your brand name
- Relationships that sometimes turn into editorial mentions later
What tends to work: shortlist creators by whether their audience would buy the product (not follower count), pitch each one personally, send a short brief with product facts and the correct URL, and track who posted, what kind of link they used, and what it drove.
Has anyone here measured sales from a seeding programme vs. paid ads?</t>
  </si>
  <si>
    <t xml:space="preserve">Annotated GA4 view: find your store's organic revenue in 5 clicks</t>
  </si>
  <si>
    <t xml:space="preserve">Your SEO report shows rankings. Your accountant wants revenue.</t>
  </si>
  <si>
    <t xml:space="preserve">ga4 organic revenue</t>
  </si>
  <si>
    <t xml:space="preserve">ga4 traffic acquisition report, organic search revenue, ga4 ecommerce reporting, seo reporting for store owners, landing page revenue ga4</t>
  </si>
  <si>
    <t xml:space="preserve">Store owners don't care about rankings.
They care about one question: "How much money did SEO bring in?"
GA4 can answer it, if purchase tracking is set up properly. Here's where to look:
1. Reports → Acquisition → Traffic acquisition
2. Set the primary dimension to "Session default channel group"
3. Find the "Organic Search" row
4. Read "Total revenue" (or purchase revenue) and "Key events" for that row
5. Switch the date range to compare with the same period last year
Want it by page? Use Reports → Engagement → Landing page, then add a filter or comparison for Session default channel group = Organic Search.
Two honest caveats:
→ GA4 uses its attribution settings, so organic can look bigger or smaller than "true" impact
→ If purchase events aren't firing correctly, the number is wrong. Check against your Shopify or WooCommerce orders first.
The image shows each click, annotated.
Comment "GA4REVENUE" and I'll send you the GA4 Organic Revenue Report Template.
#GA4 #EcommerceSEO #SEOReporting #Analytics</t>
  </si>
  <si>
    <t xml:space="preserve">#GA4 #EcommerceSEO #SEOReporting #Analytics</t>
  </si>
  <si>
    <t xml:space="preserve">"How much did SEO make us?"
Find it in GA4:
1. Reports → Acquisition → Traffic acquisition
2. Dimension: Session default channel group
3. Row: Organic Search
4. Read Total revenue
5. Compare year on year
Check it against your Shopify/WooCommerce orders first. If they don't match, fix tracking before reporting.
Save this for your next monthly report.
Comment "GA4REVENUE" for the GA4 Organic Revenue Report Template.
#ga4 #googleanalytics #ecommerceseo #seoreporting #analytics #organictraffic #shopify #woocommerce #onlinestore #seotips #ecommercetips #dataanalytics</t>
  </si>
  <si>
    <t xml:space="preserve">#ga4 #googleanalytics #ecommerceseo #seoreporting #analytics #organictraffic #shopify #woocommerce #onlinestore #seotips #ecommercetips #dataanalytics</t>
  </si>
  <si>
    <t xml:space="preserve">Single image, 1080x1350 (IG) / 1200x1500 (LinkedIn). Annotated screenshot-style mockup of a GA4 Traffic acquisition report (recreated as a clean vector mock, no real client data).
Headline (top, bold condensed): WHERE'S MY SEO REVENUE?
Sub-headline: Find organic revenue in GA4 in 5 clicks
Mock screen with numbered callout circles and arrows:
① Left nav: Reports → Acquisition → Traffic acquisition
② Dimension dropdown: "Session default channel group"
③ Highlighted row: "Organic Search"
④ Highlighted column: "Total revenue" showing "[YOUR DATA]"
⑤ Date picker: "Compare: same period last year"
Bonus strip below the mock: "BY PAGE: Engagement → Landing page + filter Organic Search"
Caveat box (amber): "Check GA4 purchases vs your Shopify/WooCommerce orders first. Attribution settings affect the number."
Bottom bar: Comment "GA4REVENUE" for the report template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</si>
  <si>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"Your SEO report shows rankings. Your accountant wants revenue."
SUBHEAD: "Annotated GA4 view: find your store's organic revenue in 5 clicks"
MAIN VISUAL: the layout described below containing exactly: 
Single image, 1080x1350 (IG) / 1200x1500 (LinkedIn). Annotated screenshot-style mockup of a GA4 Traffic acquisition report (recreated as a clean vector mock, no real client data).
Headline (top, bold condensed): WHERE'S MY SEO REVENUE?
Sub-headline: Find organic revenue in GA4 in 5 clicks
Mock screen with numbered callout circles and arrows:
① Left nav: Reports → Acquisition → Traffic acquisition
② Dimension dropdown: "Session default channel group"
③ Highlighted row: "Organic Search"
④ Highlighted column: "Total revenue" showing "[YOUR DATA]"
⑤ Date picker: "Compare: same period last year"
Bonus strip below the mock: "BY PAGE: Engagement → Landing page + filter Organic Search"
Caveat box (amber): "Check GA4 purchases vs your Shopify/WooCommerce orders first. Attribution settings affect the number."
Bottom bar: Comment "GA4REVENUE" for the report template | Permanent SEO
CTA BANNER (bottom, navy rounded box, white text, keyword in blue): Comment "GA4REVENUE" for GA4 Organic Revenue Report Template (Looker Studio)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</si>
  <si>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"Your SEO report shows rankings. Your accountant wants revenue."
BODY (numbered points / simple visual): the 3–5 key points from this brief, shortened to max 8 words each:
Single image, 1080x1350 (IG) / 1200x1500 (LinkedIn). Annotated screenshot-style mockup of a GA4 Traffic acquisition report (recreated as a clean vector mock, no real client data).
Headline (top, bold condensed): WHERE'S MY SEO REVENUE?
Sub-headline: Find organic revenue in GA4 in 5 clicks
Mock screen with numbered callout circles and arrows:
① Left nav: Reports → Acquisition → Traffic acquisition
② Dimension dropdown: "Session default channel group"
③ Highlighted row: "Organic Search"
④ Highlighted column: "Total revenue" showing "[YOUR DATA]"
⑤ Date picker: "Compare: same period last year"
Bonus strip below the mock: "BY PAGE: Engagement → Landing page + filter Organic Search"
Caveat box (amber): "Check GA4 purchases vs your Shopify/WooCommerce orders first. Attribution settings affect the number."
Bottom bar: Comment "GA4REVENUE" for the report template | Permanent SEO
BOTTOM BAR: Comment "GA4REVENUE" for GA4 Organic Revenue Report Template (Looker Studio)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</si>
  <si>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GA4REVENUE</t>
  </si>
  <si>
    <t xml:space="preserve">GA4 Organic Revenue Report Template (Looker Studio)</t>
  </si>
  <si>
    <t xml:space="preserve">Store owners don't want rankings. They want revenue.
GA4: Reports → Acquisition → Traffic acquisition → Session default channel group → Organic Search → Total revenue.
Check it against your store's orders first.
Comment GA4REVENUE. #GA4 #SEO</t>
  </si>
  <si>
    <t xml:space="preserve">Myth: a good SEO agency guarantees first-page rankings</t>
  </si>
  <si>
    <t xml:space="preserve">We don't guarantee rankings. We guarantee the work.</t>
  </si>
  <si>
    <t xml:space="preserve">seo agency guarantees</t>
  </si>
  <si>
    <t xml:space="preserve">guaranteed seo results, hiring an seo agency, seo red flags, ecommerce seo agency, seo promises</t>
  </si>
  <si>
    <t xml:space="preserve">We don't guarantee rankings. We guarantee the work.
Most agency sales calls lean on the same three things.
Guarantees. Timelines. Page one.
Google's own help page on hiring an SEO says no one can guarantee a #1 ranking on Google. So anyone promising one is either guessing or doing something you don't want on your site.
Before you sign with anyone, three things need to be clear:
→ What exactly will they do each month?
→ How will they measure it in revenue, not just rankings?
→ What happens if it isn't working by month three?
If an agency can't answer those, a guarantee means nothing.
What an honest agency can promise: a clear plan, the work delivered on time, transparent reporting, and straight answers when something isn't moving.
That's what we hold ourselves to at Permanent SEO.
Comment "NOGUARANTEE" and I'll send you the SEO Agency Red-Flag Scorecard.
#SEO #EcommerceSEO #SEOAgency #DigitalMarketing</t>
  </si>
  <si>
    <t xml:space="preserve">#SEO #EcommerceSEO #SEOAgency #DigitalMarketing</t>
  </si>
  <si>
    <t xml:space="preserve">We don't guarantee rankings. We guarantee the work.
Google's own docs: no one can guarantee a #1 ranking.
Ask any agency instead:
→ What will you do each month?
→ How will you measure revenue?
→ What happens if it's not working by month 3?
Share this with a store owner shopping for SEO help.
Comment "NOGUARANTEE" for the SEO Agency Red-Flag Scorecard.
#seoagency #seomyths #ecommerceseo #seotips #hiringseo #digitalmarketing #shopify #woocommerce #onlinestore #smallbusinesstips #seoexpert #marketingtips</t>
  </si>
  <si>
    <t xml:space="preserve">#seoagency #seomyths #ecommerceseo #seotips #hiringseo #digitalmarketing #shopify #woocommerce #onlinestore #smallbusinesstips #seoexpert #marketingtips</t>
  </si>
  <si>
    <t xml:space="preserve">[0-2s] VO: We don't guarantee rankings. | ON-SCREEN: WE DON'T GUARANTEE RANKINGS. | VISUAL: "#1 GUARANTEED" stamp cracks.
[2-4s] VO: We guarantee the work. | ON-SCREEN: WE GUARANTEE THE WORK. | VISUAL: Checklist ticks appear.
[4-7s] VO: Most agency pitches start here. | ON-SCREEN: Most agency pitches start here. | VISUAL: Sales deck slide mock.
[7-8s] VO: Guarantees. | ON-SCREEN: GUARANTEES. | VISUAL: Gold badge.
[8-9s] VO: Timelines. | ON-SCREEN: TIMELINES. | VISUAL: Calendar flipping.
[9-10s] VO: Page one. | ON-SCREEN: PAGE ONE. | VISUAL: Search result "1".
[10-14s] VO: But before you sign, three things need to be clear. | ON-SCREEN: 3 things before you sign. | VISUAL: Contract with pen, three slots.
[14-17s] VO: What will they do each month? | ON-SCREEN: 1. What's the monthly work? | VISUAL: Task list.
[17-20s] VO: How will they measure revenue? | ON-SCREEN: 2. How is revenue measured? | VISUAL: Revenue chart.
[20-23s] VO: What happens if it isn't working? | ON-SCREEN: 3. What if it's not working? | VISUAL: Question mark.
[23-26s] VO: Without those answers, a guarantee isn't protection. | ON-SCREEN: A guarantee isn't protection. | VISUAL: Shield dissolves.
[26-28s] VO: It's a sales line. | ON-SCREEN: IT'S A SALES LINE. | VISUAL: Text underline.
[28-32s] VO: Honest work beats confident promises. | ON-SCREEN: Honest work beats confident promises. | VISUAL: Centre text, fade.
[32-35s] VO: (none) | ON-SCREEN: Comment "NOGUARANTEE" for the red-flag scorecard | VISUAL: End card,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</si>
  <si>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guarantee rankings. | ON-SCREEN: WE DON'T GUARANTEE RANKINGS. | VISUAL: "#1 GUARANTEED" stamp cracks.
[2-4s] VO: We guarantee the work. | ON-SCREEN: WE GUARANTEE THE WORK. | VISUAL: Checklist ticks appear.
[4-7s] VO: Most agency pitches start here. | ON-SCREEN: Most agency pitches start here. | VISUAL: Sales deck slide mock.
[7-8s] VO: Guarantees. | ON-SCREEN: GUARANTEES. | VISUAL: Gold badge.
[8-9s] VO: Timelines. | ON-SCREEN: TIMELINES. | VISUAL: Calendar flipping.
[9-10s] VO: Page one. | ON-SCREEN: PAGE ONE. | VISUAL: Search result "1".
[10-14s] VO: But before you sign, three things need to be clear. | ON-SCREEN: 3 things before you sign. | VISUAL: Contract with pen, three slots.
[14-17s] VO: What will they do each month? | ON-SCREEN: 1. What's the monthly work? | VISUAL: Task list.
[17-20s] VO: How will they measure revenue? | ON-SCREEN: 2. How is revenue measured? | VISUAL: Revenue chart.
[20-23s] VO: What happens if it isn't working? | ON-SCREEN: 3. What if it's not working? | VISUAL: Question mark.
[23-26s] VO: Without those answers, a guarantee isn't protection. | ON-SCREEN: A guarantee isn't protection. | VISUAL: Shield dissolves.
[26-28s] VO: It's a sales line. | ON-SCREEN: IT'S A SALES LINE. | VISUAL: Text underline.
[28-32s] VO: Honest work beats confident promises. | ON-SCREEN: Honest work beats confident promises. | VISUAL: Centre text, fade.
[32-35s] VO: (none) | ON-SCREEN: Comment "NOGUARANTEE" for the red-flag scorecard | VISUAL: End card, Permanent SEO.
Final 3 s: dark/navy end card with Permanent SEO logo, 'SEO for E-commerce Brands' and 'Comment "NOGUARANTEE"'. Burned-in captions. All text spelled exactly as written, sharp and legible on mobile; no extra words, no watermarks.</t>
  </si>
  <si>
    <t xml:space="preserve">NOGUARANTEE</t>
  </si>
  <si>
    <t xml:space="preserve">SEO Agency Red-Flag Scorecard (PDF)</t>
  </si>
  <si>
    <t xml:space="preserve">We don't guarantee rankings. We guarantee the work.
Google's own docs: no one can guarantee a #1 ranking.
Ask instead: what's the monthly work? How is revenue measured? What if it's not working by month 3?
Comment NOGUARANTEE. #SEO</t>
  </si>
  <si>
    <t xml:space="preserve">SEO Agency Guarantees: Why "Page One Guaranteed" Is a Red Flag</t>
  </si>
  <si>
    <t xml:space="preserve">SEO agency guarantees sound safe, but Google's own guidance says no one can guarantee a #1 ranking. Three questions to ask before hiring an e-commerce SEO agency, from Muhammad Mehrooz Shafique at Permanent SEO. #Shorts</t>
  </si>
  <si>
    <t xml:space="preserve">seo agency guarantees, hiring an seo agency, guaranteed seo, seo red flags, ecommerce seo agency, seo myths, seo tips, store owner seo, permanent seo, seo shorts</t>
  </si>
  <si>
    <t xml:space="preserve">Building a monthly SEO SOP for an online store</t>
  </si>
  <si>
    <t xml:space="preserve">Your SEO depends on one person remembering everything.</t>
  </si>
  <si>
    <t xml:space="preserve">seo sop</t>
  </si>
  <si>
    <t xml:space="preserve">seo process for ecommerce, seo checklist monthly, seo workflow template, standard operating procedure seo, ecommerce seo routine</t>
  </si>
  <si>
    <t xml:space="preserve">Most store SEO runs on memory.
One person knows to check Search Console. One person remembers the redirects. One person writes the category copy.
When that person is on holiday, SEO stops.
An SOP fixes that. Not a 60-page manual. A short, repeatable routine anyone on the team can follow.
How we structure SOPs at Permanent SEO:
Weekly
→ Search Console: coverage issues, manual actions, big drops
→ New and discontinued products: redirects and internal links
Monthly
→ Category page updates (copy, FAQs, internal links)
→ Content brief → publish → link from relevant categories
→ Link building tasks (mentions, suppliers, PR)
→ Organic revenue report from GA4
Quarterly
→ Full technical crawl
→ Core Web Vitals check (LCP ≤2.5s, INP ≤200ms, CLS ≤0.1)
→ Competitor and topic gap review
Each task gets an owner, a tool, a time estimate and a "done" definition.
The video walks through how we build one.
Comment "SOPKIT" and I'll send you the Monthly E-commerce SEO SOP Pack.
#SEO #EcommerceSEO #SOP #Operations</t>
  </si>
  <si>
    <t xml:space="preserve">#SEO #EcommerceSEO #SOP #Operations</t>
  </si>
  <si>
    <t xml:space="preserve">If your SEO lives in one person's head, it stops when they do.
Simple SOP:
→ Weekly: Search Console + product redirects
→ Monthly: category updates, content, links, GA4 revenue
→ Quarterly: full crawl + Core Web Vitals
Every task: owner, tool, time, "done" definition.
Save this and build yours this month.
Comment "SOPKIT" for the Monthly E-commerce SEO SOP Pack.
#seosop #ecommerceseo #seoprocess #seochecklist #seotips #businesssystems #shopify #woocommerce #onlinestore #productivity #seoexpert #ecommercetips</t>
  </si>
  <si>
    <t xml:space="preserve">#seosop #ecommerceseo #seoprocess #seochecklist #seotips #businesssystems #shopify #woocommerce #onlinestore #productivity #seoexpert #ecommercetips</t>
  </si>
  <si>
    <t xml:space="preserve">Scene 1 [0-8s] VO: Where's the redirect list? Sam handles that. Sam's on holiday. For two weeks. Brilliant. | VISUAL: Store manager searching folders on a laptop, sticky notes everywhere.
Scene 2 [8-18s] VO: Let's be honest. Your problem isn't SEO knowledge. It's that it lives in one person's head. | VISUAL: Head silhouette with SEO tasks floating inside it.
Scene 3 [18-28s] VO: Products get deleted without redirects. Categories go stale. Search Console warnings sit unread for months. | VISUAL: 404 counter rising; dusty category page; unread notification badge.
Scene 4 [28-32s] VO: It's time to change that. | VISUAL: Clean cut, checklist icon.
Scene 5 [32-44s] VO: At Permanent SEO, we turn store SEO into a short, repeatable routine. Weekly, monthly, quarterly. Anyone on the team can follow it. | VISUAL: Three columns: Weekly / Monthly / Quarterly.
Scene 6 [44-58s] VO: Step one. Weekly: check Search Console for indexing issues and big drops. Redirect discontinued products and link new ones. | VISUAL: Search Console mock; redirect arrow from old product to category.
Scene 7 [58-72s] VO: Step two. Monthly: update category pages, publish one piece of useful content, do your link tasks, and report organic revenue from GA4. | VISUAL: Monthly calendar filling with four task cards.
Scene 8 [72-84s] VO: Step three. Quarterly: run a full crawl and check Core Web Vitals. LCP under 2.5 seconds, INP under 200 milliseconds, CLS under 0.1. | VISUAL: Three gauges in green.
Scene 9 [84-94s] VO: Step four. Give every task an owner, a tool, a time estimate and a clear definition of done. The result? [CLIENT RESULT: X hours saved per month]. | VISUAL: Task card with four fields; placeholder stat.
Scene 10 [94-106s] VO: Comment SOPKIT for the SOP pack. Or book a free e-commerce SEO audit with Permanent SEO. | VISUAL: End card: "Comment SOPKIT" + "Book a free e-commerce SEO audit".
Vertical cut (40s): Scenes 2, 5, 6, 7, 10.</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</si>
  <si>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Where's the redirect list? Sam handles that. Sam's on holiday. For two weeks. Brilliant. | VISUAL: Store manager searching folders on a laptop, sticky notes everywhere.
Scene 2 [8-18s] VO: Let's be honest. Your problem isn't SEO knowledge. It's that it lives in one person's head. | VISUAL: Head silhouette with SEO tasks floating inside it.
Scene 3 [18-28s] VO: Products get deleted without redirects. Categories go stale. Search Console warnings sit unread for months. | VISUAL: 404 counter rising; dusty category page; unread notification badge.
Scene 4 [28-32s] VO: It's time to change that. | VISUAL: Clean cut, checklist icon.
Scene 5 [32-44s] VO: At Permanent SEO, we turn store SEO into a short, repeatable routine. Weekly, monthly, quarterly. Anyone on the team can follow it. | VISUAL: Three columns: Weekly / Monthly / Quarterly.
Scene 6 [44-58s] VO: Step one. Weekly: check Search Console for indexing issues and big drops. Redirect discontinued products and link new ones. | VISUAL: Search Console mock; redirect arrow from old product to category.
Scene 7 [58-72s] VO: Step two. Monthly: update category pages, publish one piece of useful content, do your link tasks, and report organic revenue from GA4. | VISUAL: Monthly calendar filling with four task cards.
Scene 8 [72-84s] VO: Step three. Quarterly: run a full crawl and check Core Web Vitals. LCP under 2.5 seconds, INP under 200 milliseconds, CLS under 0.1. | VISUAL: Three gauges in green.
Scene 9 [84-94s] VO: Step four. Give every task an owner, a tool, a time estimate and a clear definition of done. The result? [CLIENT RESULT: X hours saved per month]. | VISUAL: Task card with four fields; placeholder stat.
Scene 10 [94-106s] VO: Comment SOPKIT for the SOP pack. Or book a free e-commerce SEO audit with Permanent SEO. | VISUAL: End card: "Comment SOPKIT" + "Book a free e-commerce SEO audit".
Vertical cut (40s): Scenes 2, 5, 6, 7, 10.
End card: Permanent SEO logo + 'Comment "SOPKIT"'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</si>
  <si>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Where's the redirect list? Sam handles that. Sam's on holiday. For two weeks. Brilliant. | VISUAL: Store manager searching folders on a laptop, sticky notes everywhere.
Scene 2 [8-18s] VO: Let's be honest. Your problem isn't SEO knowledge. It's that it lives in one person's head. | VISUAL: Head silhouette with SEO tasks floating inside it.
Scene 3 [18-28s] VO: Products get deleted without redirects. Categories go stale. Search Console warnings sit unread for months. | VISUAL: 404 counter rising; dusty category page; unread notification badge.
Scene 4 [28-32s] VO: It's time to change that. | VISUAL: Clean cut, checklist icon.
Scene 5 [32-44s] VO: At Permanent SEO, we turn store SEO into a short, repeatable routine. Weekly, monthly, quarterly. Anyone on the team can follow it. | VISUAL: Three columns: Weekly / Monthly / Quarterly.
Scene 6 [44-58s] VO: Step one. Weekly: check Search Console for indexing issues and big drops. Redirect discontinued products and link new ones. | VISUAL: Search Console mock; redirect arrow from old product to category.
Scene 7 [58-72s] VO: Step two. Monthly: update category pages, publish one piece of useful content, do your link tasks, and report organic revenue from GA4. | VISUAL: Monthly calendar filling with four task cards.
Scene 8 [72-84s] VO: Step three. Quarterly: run a full crawl and check Core Web Vitals. LCP under 2.5 seconds, INP under 200 milliseconds, CLS under 0.1. | VISUAL: Three gauges in green.
Scene 9 [84-94s] VO: Step four. Give every task an owner, a tool, a time estimate and a clear definition of done. The result? [CLIENT RESULT: X hours saved per month]. | VISUAL: Task card with four fields; placeholder stat.
Scene 10 [94-106s] VO: Comment SOPKIT for the SOP pack. Or book a free e-commerce SEO audit with Permanent SEO. | VISUAL: End card: "Comment SOPKIT" + "Book a free e-commerce SEO audit".
Vertical cut (40s): Scenes 2, 5, 6, 7, 10.
Final 3 s: dark/navy end card with Permanent SEO logo, 'SEO for E-commerce Brands' and 'Comment "SOPKIT"'. Burned-in captions. All text spelled exactly as written, sharp and legible on mobile; no extra words, no watermarks.</t>
  </si>
  <si>
    <t xml:space="preserve">SOPKIT</t>
  </si>
  <si>
    <t xml:space="preserve">Monthly E-commerce SEO SOP Pack (Notion template)</t>
  </si>
  <si>
    <t xml:space="preserve">If your store's SEO lives in one person's head, it stops when they're on holiday.
Weekly: Search Console + redirects.
Monthly: categories, content, links, GA4 revenue.
Quarterly: crawl + Core Web Vitals.
Comment SOPKIT for the SOP pack. #SEO</t>
  </si>
  <si>
    <t xml:space="preserve">SEO SOP for Online Stores: Weekly, Monthly and Quarterly Tasks</t>
  </si>
  <si>
    <t xml:space="preserve">An SEO SOP turns store SEO into a routine anyone on your team can follow. Muhammad Mehrooz Shafique from Permanent SEO shows the weekly, monthly and quarterly tasks we use for e-commerce clients.</t>
  </si>
  <si>
    <t xml:space="preserve">seo sop, seo process, ecommerce seo, seo checklist, seo workflow, monthly seo tasks, shopify seo, woocommerce seo, core web vitals, permanent seo</t>
  </si>
  <si>
    <t xml:space="preserve">Case study breakdown: local SEO for a three-showroom retailer</t>
  </si>
  <si>
    <t xml:space="preserve">Three showrooms. Zero map pack. Here's what we changed.</t>
  </si>
  <si>
    <t xml:space="preserve">local seo case study</t>
  </si>
  <si>
    <t xml:space="preserve">multi location seo case study, google business profile results, showroom local seo, retail local seo, store page seo</t>
  </si>
  <si>
    <t xml:space="preserve">Three showrooms. Strong online sales. Almost no visibility on Google Maps.
That was [Client: UK furniture retailer, 3 showrooms] when we started.
What we found
→ All three Business Profiles linked to the homepage
→ One "Our Stores" page for every location
→ Addresses written three different ways across the web
→ Very few recent reviews
What we did
→ Built a dedicated page for each showroom, with unique copy, photos, hours and LocalBusiness schema
→ Pointed each Business Profile to its own store page
→ Fixed NAP across the top listings
→ Set up a review request at collection and delivery
→ Added each showroom's best-sellers to its profile's products section
→ Earned a handful of local links (press, a local sponsorship)
The results
→ [CLIENT RESULT: +X% direction requests in Y months]
→ [CLIENT RESULT: +X% calls from Business Profiles]
→ [CLIENT RESULT: X new reviews]
Nothing clever. Just the basics, done properly, per location.
Comment "FOOTFALL" and I'll send you the Multi-Location Local SEO Action Plan.
#LocalSEO #CaseStudy #EcommerceSEO #RetailMarketing</t>
  </si>
  <si>
    <t xml:space="preserve">#LocalSEO #CaseStudy #EcommerceSEO #RetailMarketing</t>
  </si>
  <si>
    <t xml:space="preserve">3 showrooms. No map pack.
What we did for [Client: UK furniture retailer]:
→ One page per showroom
→ Each GBP linked to its own page
→ NAP fixed everywhere
→ Reviews asked at collection
→ Best-sellers added to each profile
Result: [CLIENT RESULT: +X% direction requests]
Save this if you have more than one shop.
Comment "FOOTFALL" for the Multi-Location Local SEO Action Plan.
#localseo #seocasestudy #multilocation #googlebusinessprofile #ecommerceseo #retailmarketing #showroom #shopify #woocommerce #seotips #localbusiness #seoexpert</t>
  </si>
  <si>
    <t xml:space="preserve">#localseo #seocasestudy #multilocation #googlebusinessprofile #ecommerceseo #retailmarketing #showroom #shopify #woocommerce #seotips #localbusiness #seoexpert</t>
  </si>
  <si>
    <t xml:space="preserve">Single image, 1080x1350. Case study card with before/after split.
Top label: CASE STUDY
Headline (bold condensed): 3 SHOWROOMS. 0 MAP PACK.
Sub-headline: [Client: UK furniture retailer, 3 showrooms] | Local SEO
Left column "BEFORE" (grey, ❌ icons):
❌ All GBPs → homepage
❌ One "Our Stores" page
❌ 3 versions of each address
❌ Few recent reviews
Right column "AFTER" (brand colour, ✅ icons):
✅ One page per showroom + LocalBusiness schema
✅ Each GBP → its own page
✅ NAP fixed on top listings
✅ Review request at collection &amp; delivery
✅ Best-sellers in each profile
Results strip (three big number tiles):
[+X%] direction requests | [+X%] GBP calls | [X] new reviews
Small note: "Results over [Y] months"
Bottom bar: Comment "FOOTFALL" for the action plan |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</si>
  <si>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"Three showrooms. Zero map pack. Here's what we changed."
SUBHEAD: "Case study breakdown: local SEO for a three-showroom retailer"
MAIN VISUAL: the layout described below containing exactly: 
Single image, 1080x1350. Case study card with before/after split.
Top label: CASE STUDY
Headline (bold condensed): 3 SHOWROOMS. 0 MAP PACK.
Sub-headline: [Client: UK furniture retailer, 3 showrooms] | Local SEO
Left column "BEFORE" (grey, ❌ icons):
❌ All GBPs → homepage
❌ One "Our Stores" page
❌ 3 versions of each address
❌ Few recent reviews
Right column "AFTER" (brand colour, ✅ icons):
✅ One page per showroom + LocalBusiness schema
✅ Each GBP → its own page
✅ NAP fixed on top listings
✅ Review request at collection &amp; delivery
✅ Best-sellers in each profile
Results strip (three big number tiles):
[+X%] direction requests | [+X%] GBP calls | [X] new reviews
Small note: "Results over [Y] months"
Bottom bar: Comment "FOOTFALL" for the action plan | Permanent SEO
CTA BANNER (bottom, navy rounded box, white text, keyword in blue): Comment "FOOTFALL" for Multi-Location Local SEO Action Plan (Google Doc)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</si>
  <si>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"Three showrooms. Zero map pack. Here's what we changed."
BODY (numbered points / simple visual): the 3–5 key points from this brief, shortened to max 8 words each:
Single image, 1080x1350. Case study card with before/after split.
Top label: CASE STUDY
Headline (bold condensed): 3 SHOWROOMS. 0 MAP PACK.
Sub-headline: [Client: UK furniture retailer, 3 showrooms] | Local SEO
Left column "BEFORE" (grey, ❌ icons):
❌ All GBPs → homepage
❌ One "Our Stores" page
❌ 3 versions of each address
❌ Few recent reviews
Right column "AFTER" (brand colour, ✅ icons):
✅ One page per showroom + LocalBusiness schema
✅ Each GBP → its own page
✅ NAP fixed on top listings
✅ Review request at collection &amp; delivery
✅ Best-sellers in each profile
Results strip (three big number tiles):
[+X%] direction requests | [+X%] GBP calls | [X] new reviews
Small note: "Results over [Y] months"
Bottom bar: Comment "FOOTFALL" for the action plan | Permanent SEO
BOTTOM BAR: Comment "FOOTFALL" for Multi-Location Local SEO Action Plan (Google Doc)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</si>
  <si>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FOOTFALL</t>
  </si>
  <si>
    <t xml:space="preserve">Multi-Location Local SEO Action Plan (Google Doc)</t>
  </si>
  <si>
    <t xml:space="preserve">3 showrooms. No map pack.
Fixed: one page per showroom, each GBP linked to its own page, NAP cleaned up, reviews asked at collection.
Result: [CLIENT RESULT: +X% direction requests]
Comment FOOTFALL for the action plan. #LocalSEO</t>
  </si>
  <si>
    <t xml:space="preserve">Hiring an e-commerce SEO agency: 8 questions to ask first</t>
  </si>
  <si>
    <t xml:space="preserve">8 questions to ask before you hire an SEO agency</t>
  </si>
  <si>
    <t xml:space="preserve">how to hire an seo agency</t>
  </si>
  <si>
    <t xml:space="preserve">ecommerce seo agency, questions to ask seo agency, choosing an seo company, seo agency red flags, seo proposal review</t>
  </si>
  <si>
    <t xml:space="preserve">I run an SEO agency. Here are the questions I'd want you to ask us, and everyone else, before you sign.
→ What will you do in the first 90 days, specifically?
→ Who actually does the work? Can I meet them?
→ How do you build links? Show me examples.
→ How will you report revenue, not just rankings?
→ What access do you need, and do I keep ownership of everything?
→ Which e-commerce platforms have you worked on?
→ Can I speak to a current client?
→ What's the notice period if it isn't working?
Good answers are specific. Bad answers sound like "proprietary methods", "guaranteed page one", or "we can't share that".
One more: ask what they'd fix first on your store. A good agency will have a view after a short look. A great one will tell you what they'd skip.
The carousel shows a good vs bad answer for each.
Comment "VETTING" and I'll send you the SEO Agency Interview Question Sheet.
#SEO #EcommerceSEO #SEOAgency #Ecommerce</t>
  </si>
  <si>
    <t xml:space="preserve">#SEO #EcommerceSEO #SEOAgency #Ecommerce</t>
  </si>
  <si>
    <t xml:space="preserve">Hiring an SEO agency? Ask:
→ What happens in the first 90 days?
→ Who does the work?
→ How do you build links?
→ How do you report revenue?
→ Do I own everything?
→ Can I speak to a client?
Red flags: "proprietary", "guaranteed", "can't share".
Save this before your next sales call.
Comment "VETTING" for the SEO Agency Interview Question Sheet.
#seoagency #hiringseo #ecommerceseo #seotips #ecommercebusiness #shopify #woocommerce #onlinestore #smallbusinesstips #digitalmarketing #businessowner #seoexpert</t>
  </si>
  <si>
    <t xml:space="preserve">#seoagency #hiringseo #ecommerceseo #seotips #ecommercebusiness #shopify #woocommerce #onlinestore #smallbusinesstips #digitalmarketing #businessowner #seoexpert</t>
  </si>
  <si>
    <t xml:space="preserve">Slide 1: 8 questions to ask before you hire an SEO agency | From someone who runs one
Slide 2: Q1: What will you do in the first 90 days? | Good: a dated list of tasks. Bad: "We'll start optimising."
Slide 3: Q2: Who actually does the work? | Good: names and roles you can meet. Bad: "Our team."
Slide 4: Q3: How do you build links? | Good: real examples, sites you'd recognise. Bad: "Proprietary network."
Slide 5: Q4: How will you report revenue? | Good: GA4 organic revenue, compared year on year. Bad: rankings-only PDF.
Slide 6: Q5: Do I own everything? | Good: your accounts, your content, your data. Bad: assets held by the agency.
Slide 7: Q6: Which platforms have you worked on? | Good: Shopify, WooCommerce, others, with specific issues they solved.
Slide 8: Q7–8: Can I speak to a client? What's the notice period? | Good: yes, and a fair exit. Bad: long lock-in, no references.
Slide 9: Bonus: "What would you fix first, and what would you skip?" | A good agency has a view. A great one tells you what not to do.
Slide 10: Want the full question sheet? | Comment "VETTING" for the SEO Agency Interview Question Sheet. Follow Muhammad Mehrooz Shafique.</t>
  </si>
  <si>
    <t xml:space="preserve">Design a 10-slide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 1: 8 questions to ask before you hire an SEO agency | From someone who runs one
Slide 2: Q1: What will you do in the first 90 days? | Good: a dated list of tasks. Bad: "We'll start optimising."
Slide 3: Q2: Who actually does the work? | Good: names and roles you can meet. Bad: "Our team."
Slide 4: Q3: How do you build links? | Good: real examples, sites you'd recognise. Bad: "Proprietary network."
Slide 5: Q4: How will you report revenue? | Good: GA4 organic revenue, compared year on year. Bad: rankings-only PDF.
Slide 6: Q5: Do I own everything? | Good: your accounts, your content, your data. Bad: assets held by the agency.
Slide 7: Q6: Which platforms have you worked on? | Good: Shopify, WooCommerce, others, with specific issues they solved.
Slide 8: Q7–8: Can I speak to a client? What's the notice period? | Good: yes, and a fair exit. Bad: long lock-in, no references.
Slide 9: Bonus: "What would you fix first, and what would you skip?" | A good agency has a view. A great one tells you what not to do.
Slide 10: Want the full question sheet? | Comment "VETTING" for the SEO Agency Interview Question Sheet.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</si>
  <si>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Design a 10-slide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 1: 8 questions to ask before you hire an SEO agency | From someone who runs one
Slide 2: Q1: What will you do in the first 90 days? | Good: a dated list of tasks. Bad: "We'll start optimising."
Slide 3: Q2: Who actually does the work? | Good: names and roles you can meet. Bad: "Our team."
Slide 4: Q3: How do you build links? | Good: real examples, sites you'd recognise. Bad: "Proprietary network."
Slide 5: Q4: How will you report revenue? | Good: GA4 organic revenue, compared year on year. Bad: rankings-only PDF.
Slide 6: Q5: Do I own everything? | Good: your accounts, your content, your data. Bad: assets held by the agency.
Slide 7: Q6: Which platforms have you worked on? | Good: Shopify, WooCommerce, others, with specific issues they solved.
Slide 8: Q7–8: Can I speak to a client? What's the notice period? | Good: yes, and a fair exit. Bad: long lock-in, no references.
Slide 9: Bonus: "What would you fix first, and what would you skip?" | A good agency has a view. A great one tells you what not to do.
Slide 10: Want the full question sheet? | Comment "VETTING" for the SEO Agency Interview Question Sheet. Follow Muhammad Mehrooz Shafique.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</si>
  <si>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VETTING</t>
  </si>
  <si>
    <t xml:space="preserve">SEO Agency Interview Question Sheet (with good vs bad answers, PDF)</t>
  </si>
  <si>
    <t xml:space="preserve">I run an SEO agency. Here are the questions I'd want you to ask us (and everyone else) before signing.
---
1/ What will you do in the first 90 days? Good answer: a dated task list. Bad: "we'll start optimising."
---
2/ Who actually does the work? Names and roles, not "our team."
---
3/ How do you build links? Real examples. Walk away from "proprietary network."
---
4/ How will you report revenue? GA4 organic revenue, year on year. Not a rankings-only PDF.
---
5/ Do I own everything? Can I speak to a client? What's the notice period?
---
6/ Comment VETTING for the full question sheet with good vs bad answers. #SEO</t>
  </si>
  <si>
    <t xml:space="preserve">Questions worth asking any SEO agency before you sign (from someone who runs one)</t>
  </si>
  <si>
    <t xml:space="preserve">Disclosure: I co-run an SEO agency, so take this with that in mind. These are the questions I think every store owner should ask, us included.
1. What exactly will you do in the first 90 days? A good answer is a dated list of tasks, not "we'll start optimising".
2. Who does the work day to day? Can you speak to them?
3. How do you get links? Ask for real examples. Be wary of "our network".
4. How will you report results? You want organic revenue from GA4 compared year on year, not just a rankings chart.
5. Do you keep ownership of your accounts, content and data if you leave?
6. Which e-commerce platforms have they worked on, and what specific problems did they fix there?
7. Can you speak to a current client?
8. What's the notice period if it isn't working?
Also: Google's own help page on hiring an SEO says nobody can guarantee a #1 ranking. Treat guarantees as a red flag.
A useful last question: "What would you fix first on my store, and what would you skip?"
For those who've hired agencies before, what question do you wish you'd asked?</t>
  </si>
  <si>
    <t xml:space="preserve">Scaling store SEO: what to keep in-house vs delegate</t>
  </si>
  <si>
    <t xml:space="preserve">Scaling SEO: what to keep, what to delegate, what to drop</t>
  </si>
  <si>
    <t xml:space="preserve">scaling ecommerce seo</t>
  </si>
  <si>
    <t xml:space="preserve">in-house vs agency seo, seo team structure, seo outsourcing, ecommerce growth, seo resourcing</t>
  </si>
  <si>
    <t xml:space="preserve">When a store grows, SEO tasks multiply faster than the team.
More products. More categories. More markets. More redirects.
The answer isn't "do everything" or "outsource everything". It's deciding who owns what.
How I'd split it for most growing stores:
Keep in-house
→ Product data quality (titles, specs, GTINs, images)
→ Merchandising decisions: which categories matter
→ Customer insight: FAQs, return reasons, reviews
→ Approving anything that touches brand voice
Delegate (agency or specialist)
→ Technical audits and migrations
→ Site architecture and internal linking plans
→ Link building and digital PR
→ Reporting setup and GA4 tracking checks
Shared
→ Category and content briefs (agency writes brief, team adds product knowledge)
→ Monthly review of organic revenue and priorities
Drop
→ Daily rank checking
→ Thin blog posts nobody asked for
→ Tasks with no owner and no "done" definition
The image lays it out as a simple table.
Comment "SCALEPLAN" and I'll send you the SEO Scaling RACI Sheet.
#EcommerceSEO #Scaling #SEOStrategy #Ecommerce</t>
  </si>
  <si>
    <t xml:space="preserve">#EcommerceSEO #Scaling #SEOStrategy #Ecommerce</t>
  </si>
  <si>
    <t xml:space="preserve">Your store grew. Your SEO team didn't.
Keep in-house:
→ Product data, merchandising, customer insight
Delegate:
→ Tech audits, migrations, links, tracking
Shared:
→ Content briefs, monthly revenue review
Drop:
→ Daily rank checks, thin blog posts
Every task needs one owner and a clear definition of done.
Save this before your next hire.
Comment "SCALEPLAN" for the SEO Scaling RACI Sheet.
#ecommerceseo #scalingbusiness #seostrategy #ecommercegrowth #seoteam #shopify #woocommerce #onlinestore #seotips #businessgrowth #seoexpert #ecommercetips</t>
  </si>
  <si>
    <t xml:space="preserve">#ecommerceseo #scalingbusiness #seostrategy #ecommercegrowth #seoteam #shopify #woocommerce #onlinestore #seotips #businessgrowth #seoexpert #ecommercetips</t>
  </si>
  <si>
    <t xml:space="preserve">Single image, 1080x1350 (IG) / 1200x1500 (LinkedIn). Four-column framework table.
Headline (bold condensed): SCALING STORE SEO
Sub-headline: What to keep, delegate, share and drop
Four colour-coded columns:
KEEP IN-HOUSE (blue): Product data quality | Merchandising priorities | Customer insight (FAQs, returns, reviews) | Brand voice approval
DELEGATE (green): Technical audits &amp; migrations | Site architecture &amp; internal links | Link building &amp; digital PR | GA4 tracking &amp; reporting setup
SHARED (purple): Category &amp; content briefs | Monthly organic revenue review
DROP (red, ❌): Daily rank checking | Thin blog posts | Tasks with no owner
Footer line in italic: "Every task needs an owner and a definition of done."
Bottom bar: Comment "SCALEPLAN" for the RACI sheet | Muhammad Mehrooz Shafique, Permanent SEO</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</si>
  <si>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"Scaling SEO: what to keep, what to delegate, what to drop"
SUBHEAD: "Scaling store SEO: what to keep in-house vs delegate"
MAIN VISUAL: the layout described below containing exactly: 
Single image, 1080x1350 (IG) / 1200x1500 (LinkedIn). Four-column framework table.
Headline (bold condensed): SCALING STORE SEO
Sub-headline: What to keep, delegate, share and drop
Four colour-coded columns:
KEEP IN-HOUSE (blue): Product data quality | Merchandising priorities | Customer insight (FAQs, returns, reviews) | Brand voice approval
DELEGATE (green): Technical audits &amp; migrations | Site architecture &amp; internal links | Link building &amp; digital PR | GA4 tracking &amp; reporting setup
SHARED (purple): Category &amp; content briefs | Monthly organic revenue review
DROP (red, ❌): Daily rank checking | Thin blog posts | Tasks with no owner
Footer line in italic: "Every task needs an owner and a definition of done."
Bottom bar: Comment "SCALEPLAN" for the RACI sheet | Muhammad Mehrooz Shafique, Permanent SEO
CTA BANNER (bottom, navy rounded box, white text, keyword in blue): Comment "SCALEPLAN" for SEO Scaling RACI Sheet (Google Sheet)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</si>
  <si>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"Scaling SEO: what to keep, what to delegate, what to drop"
BODY (numbered points / simple visual): the 3–5 key points from this brief, shortened to max 8 words each:
Single image, 1080x1350 (IG) / 1200x1500 (LinkedIn). Four-column framework table.
Headline (bold condensed): SCALING STORE SEO
Sub-headline: What to keep, delegate, share and drop
Four colour-coded columns:
KEEP IN-HOUSE (blue): Product data quality | Merchandising priorities | Customer insight (FAQs, returns, reviews) | Brand voice approval
DELEGATE (green): Technical audits &amp; migrations | Site architecture &amp; internal links | Link building &amp; digital PR | GA4 tracking &amp; reporting setup
SHARED (purple): Category &amp; content briefs | Monthly organic revenue review
DROP (red, ❌): Daily rank checking | Thin blog posts | Tasks with no owner
Footer line in italic: "Every task needs an owner and a definition of done."
Bottom bar: Comment "SCALEPLAN" for the RACI sheet | Muhammad Mehrooz Shafique, Permanent SEO
BOTTOM BAR: Comment "SCALEPLAN" for SEO Scaling RACI Sheet (Google Sheet)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</si>
  <si>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SCALEPLAN</t>
  </si>
  <si>
    <t xml:space="preserve">SEO Scaling RACI Sheet (Google Sheet)</t>
  </si>
  <si>
    <t xml:space="preserve">Scaling store SEO:
Keep in-house: product data, merchandising, customer insight.
Delegate: tech audits, migrations, links, tracking.
Shared: briefs, monthly revenue review.
Drop: daily rank checks, thin posts.
Comment SCALEPLAN. #EcommerceSEO</t>
  </si>
  <si>
    <t xml:space="preserve">Myth: scaling SEO means publishing more content</t>
  </si>
  <si>
    <t xml:space="preserve">We don't scale content. We scale process.</t>
  </si>
  <si>
    <t xml:space="preserve">scaling seo content</t>
  </si>
  <si>
    <t xml:space="preserve">seo content process, category page template, content briefs ecommerce, ai content at scale, repeatable seo</t>
  </si>
  <si>
    <t xml:space="preserve">We don't scale content. We scale process.
When stores want to grow SEO, the first idea is usually volume.
More blog posts. More AI pages. More keywords.
But before producing more, three things need to be clear:
→ Who is each page for?
→ What does it answer better than what already ranks?
→ Who checks it before it goes live?
Without that, more content doesn't create growth. It creates pages Google has to crawl, and customers skip.
What actually scales: one strong category page brief, reused across 200 categories. One review step that catches bad pages. One internal linking rule applied every time you publish.
Fix the process once and every page after it gets better.
Comment "REPEATABLE" and I'll send you the Repeatable Category Page Brief Template.
#ContentStrategy #EcommerceSEO #SEO #ContentMarketing</t>
  </si>
  <si>
    <t xml:space="preserve">#ContentStrategy #EcommerceSEO #SEO #ContentMarketing</t>
  </si>
  <si>
    <t xml:space="preserve">We don't scale content. We scale process.
Before publishing more, answer:
→ Who is the page for?
→ What does it answer better?
→ Who checks it before launch?
No answers = more pages to crawl, not more sales.
One great brief beats 200 rushed pages.
Share this with your content team.
Comment "REPEATABLE" for the Repeatable Category Page Brief Template.
#contentstrategy #ecommerceseo #seomyths #contentmarketing #categorypages #seotips #aicontent #shopify #woocommerce #onlinestore #seoprocess #seoexpert</t>
  </si>
  <si>
    <t xml:space="preserve">#contentstrategy #ecommerceseo #seomyths #contentmarketing #categorypages #seotips #aicontent #shopify #woocommerce #onlinestore #seoprocess #seoexpert</t>
  </si>
  <si>
    <t xml:space="preserve">[0-2s] VO: We don't scale content. | ON-SCREEN: WE DON'T SCALE CONTENT. | VISUAL: Wall of identical pages collapses.
[2-4s] VO: We scale process. | ON-SCREEN: WE SCALE PROCESS. | VISUAL: Single clean flowchart appears.
[4-7s] VO: Most growth plans start here. | ON-SCREEN: Most growth plans start here. | VISUAL: Content calendar overflowing.
[7-8s] VO: More posts. | ON-SCREEN: MORE POSTS. | VISUAL: Blog thumbnails multiplying.
[8-9s] VO: More pages. | ON-SCREEN: MORE PAGES. | VISUAL: URL list scrolling fast.
[9-10s] VO: More keywords. | ON-SCREEN: MORE KEYWORDS. | VISUAL: Keyword cloud.
[10-14s] VO: But before publishing more, three things need to be clear. | ON-SCREEN: 3 things first. | VISUAL: Screen clears.
[14-17s] VO: Who is this page for? | ON-SCREEN: 1. Who is it for? | VISUAL: Shopper silhouette.
[17-20s] VO: What does it answer better? | ON-SCREEN: 2. What does it answer better? | VISUAL: Two search results, one highlighted.
[20-23s] VO: Who checks it before launch? | ON-SCREEN: 3. Who checks it? | VISUAL: Reviewer tick.
[23-26s] VO: Without those answers, content doesn't create growth. | ON-SCREEN: Content doesn't create growth. | VISUAL: Traffic line flat.
[26-28s] VO: It creates noise. | ON-SCREEN: IT CREATES NOISE. | VISUAL: Static texture.
[28-32s] VO: Fix the process once. Every page gets better. | ON-SCREEN: Fix the process once. Every page gets better. | VISUAL: One template feeding many clean pages.
[32-35s] VO: (none) | ON-SCREEN: Comment "REPEATABLE" for the brief template | VISUAL: End card, Permanent SEO.</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</si>
  <si>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[0-2s] VO: We don't scale content. | ON-SCREEN: WE DON'T SCALE CONTENT. | VISUAL: Wall of identical pages collapses.
[2-4s] VO: We scale process. | ON-SCREEN: WE SCALE PROCESS. | VISUAL: Single clean flowchart appears.
[4-7s] VO: Most growth plans start here. | ON-SCREEN: Most growth plans start here. | VISUAL: Content calendar overflowing.
[7-8s] VO: More posts. | ON-SCREEN: MORE POSTS. | VISUAL: Blog thumbnails multiplying.
[8-9s] VO: More pages. | ON-SCREEN: MORE PAGES. | VISUAL: URL list scrolling fast.
[9-10s] VO: More keywords. | ON-SCREEN: MORE KEYWORDS. | VISUAL: Keyword cloud.
[10-14s] VO: But before publishing more, three things need to be clear. | ON-SCREEN: 3 things first. | VISUAL: Screen clears.
[14-17s] VO: Who is this page for? | ON-SCREEN: 1. Who is it for? | VISUAL: Shopper silhouette.
[17-20s] VO: What does it answer better? | ON-SCREEN: 2. What does it answer better? | VISUAL: Two search results, one highlighted.
[20-23s] VO: Who checks it before launch? | ON-SCREEN: 3. Who checks it? | VISUAL: Reviewer tick.
[23-26s] VO: Without those answers, content doesn't create growth. | ON-SCREEN: Content doesn't create growth. | VISUAL: Traffic line flat.
[26-28s] VO: It creates noise. | ON-SCREEN: IT CREATES NOISE. | VISUAL: Static texture.
[28-32s] VO: Fix the process once. Every page gets better. | ON-SCREEN: Fix the process once. Every page gets better. | VISUAL: One template feeding many clean pages.
[32-35s] VO: (none) | ON-SCREEN: Comment "REPEATABLE" for the brief template | VISUAL: End card, Permanent SEO.
Final 3 s: dark/navy end card with Permanent SEO logo, 'SEO for E-commerce Brands' and 'Comment "REPEATABLE"'. Burned-in captions. All text spelled exactly as written, sharp and legible on mobile; no extra words, no watermarks.</t>
  </si>
  <si>
    <t xml:space="preserve">REPEATABLE</t>
  </si>
  <si>
    <t xml:space="preserve">Repeatable Category Page Brief Template (Google Doc)</t>
  </si>
  <si>
    <t xml:space="preserve">We don't scale content. We scale process.
Before publishing more: who is the page for? What does it answer better? Who checks it before launch?
Fix the process once. Every page gets better.
Comment REPEATABLE for the brief template. #SEO</t>
  </si>
  <si>
    <t xml:space="preserve">Scaling SEO Content: Why More Pages Isn't the Answer</t>
  </si>
  <si>
    <t xml:space="preserve">Scaling SEO content for an online store starts with process, not volume. Three questions to answer before publishing more pages, from Muhammad Mehrooz Shafique at Permanent SEO. #Shorts</t>
  </si>
  <si>
    <t xml:space="preserve">scaling seo content, seo content strategy, category pages, content briefs, ecommerce seo, ai content seo, seo myths, seo process, permanent seo, seo shorts</t>
  </si>
  <si>
    <t xml:space="preserve">How to show a store owner what SEO actually earned (ROI maths)</t>
  </si>
  <si>
    <t xml:space="preserve">"Is SEO worth it?" Here's how to answer with real numbers.</t>
  </si>
  <si>
    <t xml:space="preserve">seo roi for ecommerce</t>
  </si>
  <si>
    <t xml:space="preserve">calculate seo roi, organic revenue ga4, seo reporting for store owners, seo cost vs revenue, ecommerce seo value</t>
  </si>
  <si>
    <t xml:space="preserve">Every store owner eventually asks: "Is SEO actually paying for itself?"
Rankings and traffic charts don't answer that. Money does.
A simple way to frame it:
→ Organic revenue (from GA4, checked against your store's orders)
→ × your gross margin
→ − what you spent on SEO (agency, tools, content, your team's time)
= what SEO earned you
Then compare it with the same period last year, not last month. Seasonality fools everyone.
Be honest about the limits:
→ Attribution isn't perfect. Organic often starts journeys that end on another channel.
→ SEO compounds, so early months usually look worse than later ones.
→ Some value is hard to count: brand searches, AI search mentions, lower ad spend on terms you now rank for.
At Permanent SEO we report this number monthly, with the caveats written next to it. No hiding behind impressions.
Full walkthrough in the video.
Comment "ROIMATH" and I'll send you the SEO ROI Calculator for Online Stores.
#SEOROI #EcommerceSEO #GA4 #SEOReporting</t>
  </si>
  <si>
    <t xml:space="preserve">#SEOROI #EcommerceSEO #GA4 #SEOReporting</t>
  </si>
  <si>
    <t xml:space="preserve">"Is SEO paying for itself?"
Do the maths:
→ Organic revenue (GA4, checked vs orders)
→ × gross margin
→ − SEO costs
= what SEO earned
Compare year on year, not month on month.
SEO compounds, so early months look worse. Write the caveats next to the number.
Save this for your next review.
Comment "ROIMATH" for the SEO ROI Calculator.
#seoroi #ecommerceseo #ga4 #seoreporting #marketingroi #ecommercegrowth #shopify #woocommerce #onlinestore #seotips #businessowner #seoexpert</t>
  </si>
  <si>
    <t xml:space="preserve">#seoroi #ecommerceseo #ga4 #seoreporting #marketingroi #ecommercegrowth #shopify #woocommerce #onlinestore #seotips #businessowner #seoexpert</t>
  </si>
  <si>
    <t xml:space="preserve">Scene 1 [0-8s] VO: So... we've been paying for SEO for nine months. Is it actually making us money? Anyone? | VISUAL: Store owner in a meeting, pointing at a rankings chart; team shrugging.
Scene 2 [8-18s] VO: Let's be honest. Your problem isn't SEO. It's that nobody's ever shown you what it earned in pounds or dollars. | VISUAL: Rankings chart morphs into a big question mark over a "£ / $" symbol.
Scene 3 [18-28s] VO: You get impressions. Positions. Traffic graphs. Everything except the number your accountant asks for. | VISUAL: Stack of report pages with vanity metrics highlighted.
Scene 4 [28-32s] VO: It's time to change that. | VISUAL: Clean cut, calculator icon.
Scene 5 [32-44s] VO: At Permanent SEO, we report SEO the way a store owner thinks about it. Money in, money out. | VISUAL: Simple equation builds on screen.
Scene 6 [44-58s] VO: Step one. Take organic revenue from GA4, and check it against your Shopify or WooCommerce orders. Step two. Multiply it by your gross margin. | VISUAL: GA4 "Organic Search" row → "× margin" multiplier.
Scene 7 [58-72s] VO: Step three. Subtract everything SEO cost you: agency, tools, content, your team's time. Step four. Compare with the same period last year. | VISUAL: Cost blocks subtracting; year-on-year bar comparison.
Scene 8 [72-86s] VO: And be honest about the limits. Attribution isn't perfect. SEO compounds, so early months look worse. Some value, like brand searches, is hard to count. | VISUAL: Three caveat cards flip in.
Scene 9 [86-94s] VO: The result? [CLIENT RESULT: X× return on SEO spend over Y months]. | VISUAL: Placeholder tile "[YOUR DATA]".
Scene 10 [94-106s] VO: Comment ROIMATH for the calculator. Or book a free e-commerce SEO audit with Permanent SEO. | VISUAL: End card: "Comment ROIMATH" + "Book a free e-commerce SEO audit".
Vertical cut (40s): Scenes 1, 5, 6, 7, 10.</t>
  </si>
  <si>
    <t xml:space="preserve">Produce a 1920x1080 motion-graphics explainer, 60–120 s.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Scene 1 [0-8s] VO: So... we've been paying for SEO for nine months. Is it actually making us money? Anyone? | VISUAL: Store owner in a meeting, pointing at a rankings chart; team shrugging.
Scene 2 [8-18s] VO: Let's be honest. Your problem isn't SEO. It's that nobody's ever shown you what it earned in pounds or dollars. | VISUAL: Rankings chart morphs into a big question mark over a "£ / $" symbol.
Scene 3 [18-28s] VO: You get impressions. Positions. Traffic graphs. Everything except the number your accountant asks for. | VISUAL: Stack of report pages with vanity metrics highlighted.
Scene 4 [28-32s] VO: It's time to change that. | VISUAL: Clean cut, calculator icon.
Scene 5 [32-44s] VO: At Permanent SEO, we report SEO the way a store owner thinks about it. Money in, money out. | VISUAL: Simple equation builds on screen.
Scene 6 [44-58s] VO: Step one. Take organic revenue from GA4, and check it against your Shopify or WooCommerce orders. Step two. Multiply it by your gross margin. | VISUAL: GA4 "Organic Search" row → "× margin" multiplier.
Scene 7 [58-72s] VO: Step three. Subtract everything SEO cost you: agency, tools, content, your team's time. Step four. Compare with the same period last year. | VISUAL: Cost blocks subtracting; year-on-year bar comparison.
Scene 8 [72-86s] VO: And be honest about the limits. Attribution isn't perfect. SEO compounds, so early months look worse. Some value, like brand searches, is hard to count. | VISUAL: Three caveat cards flip in.
Scene 9 [86-94s] VO: The result? [CLIENT RESULT: X× return on SEO spend over Y months]. | VISUAL: Placeholder tile "[YOUR DATA]".
Scene 10 [94-106s] VO: Comment ROIMATH for the calculator. Or book a free e-commerce SEO audit with Permanent SEO. | VISUAL: End card: "Comment ROIMATH" + "Book a free e-commerce SEO audit".
Vertical cut (40s): Scenes 1, 5, 6, 7, 10.
End card: Permanent SEO logo + 'Comment "ROIMATH"' + 'Muhammad Mehrooz Shafique · Co-Founder, Permanent SEO'. Burn in captions. All text spelled exactly as written, sharp and legible on mobile; no extra words, no watermarks.</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</si>
  <si>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Vertical 30–45 s cut of the long video: keep the opener, the problem line, the 3–4 steps as one-word beats and the CTA. Source script:
Scene 1 [0-8s] VO: So... we've been paying for SEO for nine months. Is it actually making us money? Anyone? | VISUAL: Store owner in a meeting, pointing at a rankings chart; team shrugging.
Scene 2 [8-18s] VO: Let's be honest. Your problem isn't SEO. It's that nobody's ever shown you what it earned in pounds or dollars. | VISUAL: Rankings chart morphs into a big question mark over a "£ / $" symbol.
Scene 3 [18-28s] VO: You get impressions. Positions. Traffic graphs. Everything except the number your accountant asks for. | VISUAL: Stack of report pages with vanity metrics highlighted.
Scene 4 [28-32s] VO: It's time to change that. | VISUAL: Clean cut, calculator icon.
Scene 5 [32-44s] VO: At Permanent SEO, we report SEO the way a store owner thinks about it. Money in, money out. | VISUAL: Simple equation builds on screen.
Scene 6 [44-58s] VO: Step one. Take organic revenue from GA4, and check it against your Shopify or WooCommerce orders. Step two. Multiply it by your gross margin. | VISUAL: GA4 "Organic Search" row → "× margin" multiplier.
Scene 7 [58-72s] VO: Step three. Subtract everything SEO cost you: agency, tools, content, your team's time. Step four. Compare with the same period last year. | VISUAL: Cost blocks subtracting; year-on-year bar comparison.
Scene 8 [72-86s] VO: And be honest about the limits. Attribution isn't perfect. SEO compounds, so early months look worse. Some value, like brand searches, is hard to count. | VISUAL: Three caveat cards flip in.
Scene 9 [86-94s] VO: The result? [CLIENT RESULT: X× return on SEO spend over Y months]. | VISUAL: Placeholder tile "[YOUR DATA]".
Scene 10 [94-106s] VO: Comment ROIMATH for the calculator. Or book a free e-commerce SEO audit with Permanent SEO. | VISUAL: End card: "Comment ROIMATH" + "Book a free e-commerce SEO audit".
Vertical cut (40s): Scenes 1, 5, 6, 7, 10.
Final 3 s: dark/navy end card with Permanent SEO logo, 'SEO for E-commerce Brands' and 'Comment "ROIMATH"'. Burned-in captions. All text spelled exactly as written, sharp and legible on mobile; no extra words, no watermarks.</t>
  </si>
  <si>
    <t xml:space="preserve">ROIMATH</t>
  </si>
  <si>
    <t xml:space="preserve">SEO ROI Calculator for Online Stores (Google Sheet)</t>
  </si>
  <si>
    <t xml:space="preserve">"Is SEO paying for itself?"
Organic revenue (GA4, checked vs orders) × gross margin − SEO costs = what SEO earned.
Compare year on year. Write the caveats next to the number.
Comment ROIMATH for the calculator. #SEO</t>
  </si>
  <si>
    <t xml:space="preserve">SEO ROI for Ecommerce: How to Calculate What SEO Earned Your Store</t>
  </si>
  <si>
    <t xml:space="preserve">SEO ROI for ecommerce comes down to organic revenue, margin and cost. Muhammad Mehrooz Shafique from Permanent SEO shows a simple formula store owners can use with GA4, plus the honest caveats to include.</t>
  </si>
  <si>
    <t xml:space="preserve">seo roi, ecommerce seo, calculate seo roi, ga4 organic revenue, seo reporting, seo value, shopify seo, woocommerce seo, marketing roi, permanent seo</t>
  </si>
  <si>
    <t xml:space="preserve">6-month recap: lessons from posting e-commerce SEO every weekday</t>
  </si>
  <si>
    <t xml:space="preserve">Six months of e-commerce SEO posts. Six lessons I'm keeping.</t>
  </si>
  <si>
    <t xml:space="preserve">ecommerce seo lessons</t>
  </si>
  <si>
    <t xml:space="preserve">ecommerce seo strategy, seo for online stores, seo tips for shopify, seo playbook, seo recap</t>
  </si>
  <si>
    <t xml:space="preserve">Six months ago I started posting about e-commerce SEO every weekday.
Carousels, videos, case studies, freebies. [YOUR STAT: X posts, X comments, X freebies sent].
Six lessons I'm taking forward:
1. Store owners want revenue, not rankings. The posts about GA4 and ROI got the best questions.
2. The basics still win. Category pages, internal links, redirects, clean product data. Not glamorous. Still where most stores leak.
3. Honest beats impressive. Placeholders and caveats earned more trust than big claims ever would.
4. Local is underrated. Stores with a physical shop have a second front door most of them ignore.
5. Links come from reasons. Suppliers, data, reviews, mentions. Not price lists.
6. Process scales. Ideas don't. Every good result we've seen came from a routine someone followed.
Thank you to everyone who commented, shared and pushed back. The pushback made the content better.
I've bundled the freebies from these six months into one playbook.
Comment "SIXMONTHS" and I'll send you the 6-Month E-commerce SEO Playbook.
#EcommerceSEO #SEO #LessonsLearned #Ecommerce #PersonalBrand</t>
  </si>
  <si>
    <t xml:space="preserve">#EcommerceSEO #SEO #LessonsLearned #Ecommerce #PersonalBrand</t>
  </si>
  <si>
    <t xml:space="preserve">6 months of e-commerce SEO posts. 6 lessons:
1. Owners want revenue, not rankings
2. The basics still win
3. Honest beats impressive
4. Local is underrated
5. Links come from reasons
6. Process scales. Ideas don't.
Thank you for every comment and question.
Save this and share it with a fellow store owner.
Comment "SIXMONTHS" for the 6-Month E-commerce SEO Playbook.
#ecommerceseo #seotips #lessonslearned #seostrategy #shopify #woocommerce #onlinestore #ecommercetips #smallbusiness #seoexpert #digitalmarketing #businessgrowth</t>
  </si>
  <si>
    <t xml:space="preserve">#ecommerceseo #seotips #lessonslearned #seostrategy #shopify #woocommerce #onlinestore #ecommercetips #smallbusiness #seoexpert #digitalmarketing #businessgrowth</t>
  </si>
  <si>
    <t xml:space="preserve">Single image, 1080x1350 (IG) / 1200x1500 (LinkedIn). Recap card with six numbered lessons.
Top label: 6-MONTH RECAP | NOV 2026 – APR 2027
Headline (bold condensed): 6 MONTHS. 6 LESSONS.
Sub-headline: What posting about e-commerce SEO every weekday taught me
Stats strip (three tiles, placeholders): [X] posts | [X] comments | [X] freebies sent
Numbered list (large numerals, one line each):
01 Store owners want revenue, not rankings
02 The basics still win
03 Honest beats impressive
04 Local is underrated
05 Links come from reasons, not price lists
06 Process scales. Ideas don't.
Right side: small photo of Mehrooz, caption "Muhammad Mehrooz Shafique, Co-Founder, Permanent SEO"
Bottom banner (full width): Comment "SIXMONTHS" for the 6-Month E-commerce SEO Playbook</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</si>
  <si>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"Six months of e-commerce SEO posts. Six lessons I'm keeping."
SUBHEAD: "6-month recap: lessons from posting e-commerce SEO every weekday"
MAIN VISUAL: the layout described below containing exactly: 
Single image, 1080x1350 (IG) / 1200x1500 (LinkedIn). Recap card with six numbered lessons.
Top label: 6-MONTH RECAP | NOV 2026 – APR 2027
Headline (bold condensed): 6 MONTHS. 6 LESSONS.
Sub-headline: What posting about e-commerce SEO every weekday taught me
Stats strip (three tiles, placeholders): [X] posts | [X] comments | [X] freebies sent
Numbered list (large numerals, one line each):
01 Store owners want revenue, not rankings
02 The basics still win
03 Honest beats impressive
04 Local is underrated
05 Links come from reasons, not price lists
06 Process scales. Ideas don't.
Right side: small photo of Mehrooz, caption "Muhammad Mehrooz Shafique, Co-Founder, Permanent SEO"
Bottom banner (full width): Comment "SIXMONTHS" for the 6-Month E-commerce SEO Playbook
CTA BANNER (bottom, navy rounded box, white text, keyword in blue): Comment "SIXMONTHS" for 6-Month E-commerce SEO Playbook (PDF bundle of all freebies)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</si>
  <si>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"Six months of e-commerce SEO posts. Six lessons I'm keeping."
BODY (numbered points / simple visual): the 3–5 key points from this brief, shortened to max 8 words each:
Single image, 1080x1350 (IG) / 1200x1500 (LinkedIn). Recap card with six numbered lessons.
Top label: 6-MONTH RECAP | NOV 2026 – APR 2027
Headline (bold condensed): 6 MONTHS. 6 LESSONS.
Sub-headline: What posting about e-commerce SEO every weekday taught me
Stats strip (three tiles, placeholders): [X] posts | [X] comments | [X] freebies sent
Numbered list (large numerals, one line each):
01 Store owners want revenue, not rankings
02 The basics still win
03 Honest beats impressive
04 Local is underrated
05 Links come from reasons, not price lists
06 Process scales. Ideas don't.
Right side: small photo of Mehrooz, caption "Muhammad Mehrooz Shafique, Co-Founder, Permanent SEO"
Bottom banner (full width): Comment "SIXMONTHS" for the 6-Month E-commerce SEO Playbook
BOTTOM BAR: Comment "SIXMONTHS" for 6-Month E-commerce SEO Playbook (PDF bundle of all freebies)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</si>
  <si>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SIXMONTHS</t>
  </si>
  <si>
    <t xml:space="preserve">6-Month E-commerce SEO Playbook (PDF bundle of all freebies)</t>
  </si>
  <si>
    <t xml:space="preserve">6 months of e-commerce SEO posts. 6 lessons:
1. Owners want revenue, not rankings
2. Basics still win
3. Honest beats impressive
4. Local is underrated
5. Links come from reasons
6. Process scales
Comment SIXMONTHS for the playbook. #SEO</t>
  </si>
  <si>
    <t xml:space="preserve">Prompt Templates — short, reusable structures</t>
  </si>
  <si>
    <t xml:space="preserve">Replace {curly} variables. Column E = writing prompt (ChatGPT/Claude). Column F = visual/video prompt (image/video AI).</t>
  </si>
  <si>
    <t xml:space="preserve">Template</t>
  </si>
  <si>
    <t xml:space="preserve">Platform</t>
  </si>
  <si>
    <t xml:space="preserve">Use For</t>
  </si>
  <si>
    <t xml:space="preserve">Specs</t>
  </si>
  <si>
    <t xml:space="preserve">Writing Prompt (caption / script)</t>
  </si>
  <si>
    <t xml:space="preserve">Visual / Video Prompt</t>
  </si>
  <si>
    <t xml:space="preserve">LinkedIn Post Prompt</t>
  </si>
  <si>
    <t xml:space="preserve">LinkedIn</t>
  </si>
  <si>
    <t xml:space="preserve">Single detailed image + text post (Tue/Fri)</t>
  </si>
  <si>
    <t xml:space="preserve">1080x1350 px (4:5) PNG · caption 120–220 words · 3–5 hashtags</t>
  </si>
  <si>
    <t xml:space="preserve">Write a LinkedIn post for Muhammad Mehrooz Shafique, Co-Founder of Permanent SEO, for e-commerce store owners.
TOPIC: {topic}
PRIMARY KEYWORD: {primary_keyword} | SECONDARY: {secondary_keywords}
STRUCTURE: 1) Hook line (max 12 words, specific) 2) 2–3 short paragraphs or an → arrow list 3) One clear takeaway 4) CTA: Comment "{KEYWORD}" and I'll send you the {freebie} 5) 3–5 hashtags.
RULES: confident expert tone, short sentences, no fluff/hype words, no invented stats (use [placeholders]).</t>
  </si>
  <si>
    <t xml:space="preserve">Create a 1080x1350 LinkedIn infographic. Clean premium editorial style: off-white #F4F7FD background, primary blue #1566D7 accents, navy #191A46 text, headlines in Bebas Neue (bold condensed, all caps), body in Inter; generous margins, faint grid lines, crisp vector icons, no stock-photo clutter.
HEADLINE: "{hook}"
SUBHEAD: "{subhead}"
MAIN VISUAL: {visual_type} containing exactly: {content_items}
CTA BANNER (bottom, navy rounded box, white text, keyword in blue): Comment "{KEYWORD}" for {freebie}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</si>
  <si>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LinkedIn Long Video Prompt</t>
  </si>
  <si>
    <t xml:space="preserve">LinkedIn + YouTube</t>
  </si>
  <si>
    <t xml:space="preserve">60–120 s motion-graphics explainer (Thu)</t>
  </si>
  <si>
    <t xml:space="preserve">1920x1080 (16:9) MP4 · 150–230 word voiceover · burned-in captions · YouTube title ≤70 chars</t>
  </si>
  <si>
    <t xml:space="preserve">Write a 60–120 second explainer video script for Muhammad Mehrooz Shafique (Permanent SEO) aimed at e-commerce owners.
TOPIC: {topic} | KEYWORD: {primary_keyword}
STRUCTURE (scenes with VO + VISUAL): 1) Relatable mini-scene opener (owner frustrated) 2) 'Let's be honest…' real problem 3) Agitate: what it costs them 4) 'It's time to change.' 5) The Permanent SEO method, 3–4 'how it works' steps 6) Proof line with [placeholder result] 7) CTA: Comment "{KEYWORD}" + book a free e-commerce SEO audit.
RULES: 150–230 words, spoken English, short lines, no hype.</t>
  </si>
  <si>
    <t xml:space="preserve">Produce a 1920x1080 motion-graphics explainer, {duration}. Visual style: bright white/very light blue #F4F7FD canvas, floating UI mockups (Google results, Search Console charts, product pages, ChatGPT answers), kinetic typography where key words turn blue #1566D7, smooth parallax and soft shadows, occasional full-bleed blue #1566D7 scene with one giant word. Voiceover: calm, deep, confident male narrator; measured pace (~130 words/min); a short pause between every line; no hype, no music drops over the voice; subtle minimal ambient bed + soft whoosh on text changes.
SCRIPT &amp; SCENES:
{script}
End card: Permanent SEO logo + 'Comment "{KEYWORD}"' + 'Muhammad Mehrooz Shafique · Co-Founder, Permanent SEO'. Burn in captions. All text spelled exactly as written, sharp and legible on mobile; no extra words, no watermarks.</t>
  </si>
  <si>
    <t xml:space="preserve">LinkedIn Slide Post Prompt</t>
  </si>
  <si>
    <t xml:space="preserve">PDF document carousel, deep detail (Mon)</t>
  </si>
  <si>
    <t xml:space="preserve">1080x1350 px slides, 8–10 slides, export as PDF · caption 120–220 words</t>
  </si>
  <si>
    <t xml:space="preserve">Create an 8–10 slide LinkedIn carousel for Muhammad Mehrooz Shafique (Permanent SEO) for e-commerce owners.
TOPIC: {topic} | KEYWORD: {primary_keyword}
SLIDES: 1 Cover hook + 'by Muhammad Mehrooz Shafique' 2 The problem 3–8 One step/point per slide (title + 2–3 lines + example) 9 Summary checklist 10 CTA: Comment "{KEYWORD}" for {freebie} + follow.
Also write the caption (hook, 3 bullets, CTA, 3–5 hashtags). No fluff, no invented stats.</t>
  </si>
  <si>
    <t xml:space="preserve">Design a {n_slides}-slide LinkedIn PDF carousel, 1080x1350 each. Clean premium editorial style: off-white #F4F7FD background, primary blue #1566D7 accents, navy #191A46 text, headlines in Bebas Neue (bold condensed, all caps), body in Inter; generous margins, faint grid lines, crisp vector icons, no stock-photo clutter. Cover slide like a premium guide cover: giant two-tone headline (key word in blue), small illustration/UI mockup, numbered contents list. Inner slides: big slide number in blue, Bebas Neue title, short Inter body, one diagram/mockup/checklist per slide. Last slide: navy CTA banner with download icon.
SLIDE CONTENT:
{slides}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</si>
  <si>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Instagram Post Prompt</t>
  </si>
  <si>
    <t xml:space="preserve">Instagram (+ Facebook)</t>
  </si>
  <si>
    <t xml:space="preserve">Single image tip / quote / proof post (Tue/Fri)</t>
  </si>
  <si>
    <t xml:space="preserve">1080x1350 px (4:5) PNG · caption 60–120 words · 10–15 hashtags</t>
  </si>
  <si>
    <t xml:space="preserve">Write an Instagram post for Muhammad Mehrooz Shafique (SEO expert, Co-Founder Permanent SEO) for e-commerce owners.
TOPIC: {topic} | KEYWORD: {primary_keyword}
IMAGE TEXT: headline max 8 words + 3–5 short points.
CAPTION: hook, 3–5 short lines, 'Save this', CTA Comment "{KEYWORD}" for {freebie}, then 10–15 hashtags. Clear words, no fluff.</t>
  </si>
  <si>
    <t xml:space="preserve">Create a 1080x1350 Instagram post. Bold creator style: deep gradient background #345DF5 (top) to #191A46 (bottom), huge white Bebas Neue / Anton condensed headline, key words highlighted in #1566D7 highlight boxes or light-blue text, high contrast.
HEADLINE (top, 2–3 lines, giant): "{hook}"
BODY (numbered points / simple visual): {content_items}
BOTTOM BAR: Comment "{KEYWORD}" for {freebie}
Footer on every frame: small circular headshot avatar + name tag 'Muhammad Mehrooz Shafique · Co-Founder, Permanent SEO' bottom-left; Permanent SEO 'P' logo (rising bar-chart + arrow mark) bottom-right (white versions). All text spelled exactly as written, sharp and legible on mobile; no extra words, no watermarks.</t>
  </si>
  <si>
    <t xml:space="preserve">Instagram Reel Video Prompt</t>
  </si>
  <si>
    <t xml:space="preserve">Instagram + YT Shorts + FB Reels + LinkedIn + X</t>
  </si>
  <si>
    <t xml:space="preserve">25–35 s kinetic voiceover reel (Wed)</t>
  </si>
  <si>
    <t xml:space="preserve">1080x1920 (9:16) MP4 · 60–80 word VO · safe zone: keep text out of top 250 px &amp; bottom 400 px</t>
  </si>
  <si>
    <t xml:space="preserve">Write a 25–35 second Instagram Reel voiceover for Muhammad Mehrooz Shafique (Permanent SEO).
TOPIC: {topic}
PATTERN (one line = one on-screen beat): 'We don't X. We start with Y.' → what most people do (3 one-word beats) → 'But first, N things need to be clear.' → N short questions/points → consequence line → twist line → one-line philosophy close. 60–80 words. Give each beat: [time] VO | ON-SCREEN TEXT | VISUAL.</t>
  </si>
  <si>
    <t xml:space="preserve">Produce a 1080x1920 vertical reel, 25–35 s. Visual style: soft white studio background with subtle grid and soft corner shadows, mostly monochrome (black, grey, white) with ONE accent colour blue #1566D7; cinematic 3D objects (rocket, credit card, balance scale, puzzle pieces, magnifying glass, Google/Shopify-style app icons) that move in with motion blur; kinetic typography: bold geometric sans, one or two words per beat, key word in large grey/blue. Permanent SEO logo small at top-centre throughout. Voiceover: calm, deep, confident male narrator; measured pace (~130 words/min); a short pause between every line; no hype, no music drops over the voice; subtle minimal ambient bed + soft whoosh on text changes.
BEATS:
{script}
Final 3 s: dark/navy end card with Permanent SEO logo, 'SEO for E-commerce Brands' and 'Comment "{KEYWORD}"'. Burned-in captions. All text spelled exactly as written, sharp and legible on mobile; no extra words, no watermarks.</t>
  </si>
  <si>
    <t xml:space="preserve">Instagram Slide Post Prompt</t>
  </si>
  <si>
    <t xml:space="preserve">Swipe carousel, saveable (Mon)</t>
  </si>
  <si>
    <t xml:space="preserve">1080x1350 px, 7–10 slides · caption 60–120 words · 10–15 hashtags</t>
  </si>
  <si>
    <t xml:space="preserve">Create a 7–10 slide Instagram carousel for Muhammad Mehrooz Shafique (Permanent SEO) for e-commerce owners.
TOPIC: {topic} | KEYWORD: {primary_keyword}
SLIDES: 1 Hook (max 8 words, curiosity) 2 Why it matters 3–8 one point per slide, max 25 words each 9 Recap 10 CTA: Comment "{KEYWORD}" for {freebie} + Save + Follow.
CAPTION: 60–120 words + 10–15 hashtags.</t>
  </si>
  <si>
    <t xml:space="preserve">Design a {n_slides}-slide Instagram carousel, 1080x1350 each. Bold creator style: deep gradient background #345DF5 (top) to #191A46 (bottom), huge white Bebas Neue / Anton condensed headline, key words highlighted in #1566D7 highlight boxes or light-blue text, high contrast. Slide 1 = scroll-stopping cover with giant condensed headline and a 'swipe →' cue; inner slides alternate navy and white backgrounds, big blue slide number, max 25 words, one icon or mini-diagram each; last slide = CTA with comment keyword in a blue pill.
SLIDE CONTENT:
{slides}
Footer on every frame: small circular headshot avatar + name tag 'Muhammad Mehrooz Shafique · Co-Founder, Permanent SEO' bottom-left; Permanent SEO 'P' logo (rising bar-chart + arrow mark) bottom-right. All text spelled exactly as written, sharp and legible on mobile; no extra words, no watermarks.</t>
  </si>
  <si>
    <t xml:space="preserve">X (Twitter) Adaptation Prompt</t>
  </si>
  <si>
    <t xml:space="preserve">X.com</t>
  </si>
  <si>
    <t xml:space="preserve">Single post or thread</t>
  </si>
  <si>
    <t xml:space="preserve">≤280 chars per post · 1–2 hashtags · threads 4–7 posts · attach the same image/carousel slides or reel</t>
  </si>
  <si>
    <t xml:space="preserve">Turn this post into an X post (≤280 chars, 1–2 hashtags). For carousel days write a 4–7 post thread: post 1 = hook + '🧵', one point per post, last post = CTA reply with "{KEYWORD}". Keep it blunt and specific.
SOURCE: {linkedin_caption}</t>
  </si>
  <si>
    <t xml:space="preserve">Facebook Adaptation Prompt</t>
  </si>
  <si>
    <t xml:space="preserve">Facebook Page</t>
  </si>
  <si>
    <t xml:space="preserve">Reuse Instagram assets</t>
  </si>
  <si>
    <t xml:space="preserve">Same 1080x1350 image/carousel; Reels → Facebook Reels; long video → native upload 16:9</t>
  </si>
  <si>
    <t xml:space="preserve">Adapt the Instagram caption for Facebook: keep hook + points, use 3–5 hashtags only, keep the comment-keyword CTA.
SOURCE: {instagram_caption}</t>
  </si>
  <si>
    <t xml:space="preserve">YouTube Adaptation Prompt</t>
  </si>
  <si>
    <t xml:space="preserve">YouTube (long + Shorts)</t>
  </si>
  <si>
    <t xml:space="preserve">Long video Thu · Shorts Wed</t>
  </si>
  <si>
    <t xml:space="preserve">Long: 1920x1080 + custom thumbnail 1280x720 · Shorts: 1080x1920 ≤60 s, add #Shorts</t>
  </si>
  <si>
    <t xml:space="preserve">Write a YouTube title (≤70 chars, keyword first), a 2–3 sentence description with the keyword in sentence one, chapters for long videos, 8–12 tags, and a thumbnail text of max 4 words.
TOPIC: {topic} | KEYWORD: {primary_keyword}</t>
  </si>
  <si>
    <t xml:space="preserve">Thumbnail 1280x720: Bold creator style: deep gradient background #345DF5 (top) to #191A46 (bottom), huge white Bebas Neue / Anton condensed headline, key words highlighted in #1566D7 highlight boxes or light-blue text, high contrast; 3–4 word text, Muhammad Mehrooz Shafique's cut-out headshot on the right with a confident expression, Permanent SEO logo top-left.</t>
  </si>
  <si>
    <t xml:space="preserve">Reddit Adaptation Prompt</t>
  </si>
  <si>
    <t xml:space="preserve">Reddit</t>
  </si>
  <si>
    <t xml:space="preserve">Weekly value post (Mon)</t>
  </si>
  <si>
    <t xml:space="preserve">Text post · no links · no hashtags · follow each subreddit's self-promotion rules</t>
  </si>
  <si>
    <t xml:space="preserve">Rewrite this as a genuinely helpful Reddit text post for {subreddit}: plain title (no clickbait), 120–200 words, practical steps, no links, no selling, no comment-keyword CTA; end with a question that invites discussion.
SOURCE: {linkedin_caption}</t>
  </si>
  <si>
    <t xml:space="preserve">Variables</t>
  </si>
  <si>
    <t xml:space="preserve">{topic}</t>
  </si>
  <si>
    <t xml:space="preserve">Working title of the post</t>
  </si>
  <si>
    <t xml:space="preserve">{hook}</t>
  </si>
  <si>
    <t xml:space="preserve">Cover headline / first line</t>
  </si>
  <si>
    <t xml:space="preserve">{primary_keyword}</t>
  </si>
  <si>
    <t xml:space="preserve">Main SEO phrase</t>
  </si>
  <si>
    <t xml:space="preserve">{secondary_keywords}</t>
  </si>
  <si>
    <t xml:space="preserve">Related phrases</t>
  </si>
  <si>
    <t xml:space="preserve">{KEYWORD}</t>
  </si>
  <si>
    <t xml:space="preserve">Comment keyword for the freebie (UPPERCASE, unique per post)</t>
  </si>
  <si>
    <t xml:space="preserve">{freebie}</t>
  </si>
  <si>
    <t xml:space="preserve">The asset you DM (checklist, template, SOP…)</t>
  </si>
  <si>
    <t xml:space="preserve">{slides} / {script}</t>
  </si>
  <si>
    <t xml:space="preserve">Slide list or timed voiceover beats (see calendar 'Production Brief')</t>
  </si>
  <si>
    <t xml:space="preserve">{subhead} {visual_type} {content_items}</t>
  </si>
  <si>
    <t xml:space="preserve">Image sub-headline, chart/table/diagram type, exact items to show</t>
  </si>
  <si>
    <t xml:space="preserve">Voice note</t>
  </si>
  <si>
    <t xml:space="preserve">AI tools cannot copy the voice in the reference video. For the same sound every time, clone YOUR voice (e.g. ElevenLabs Professional Voice Clone from 30+ min of clean audio) or pick one stock deep, calm male voice and reuse it.</t>
  </si>
  <si>
    <t xml:space="preserve">Weekly Posting System (repeats every week)</t>
  </si>
  <si>
    <t xml:space="preserve">Times are UK (GMT/BST) starting points for UK/US e-commerce audiences — test for 4 weeks, then keep what performs.</t>
  </si>
  <si>
    <t xml:space="preserve">Main Format</t>
  </si>
  <si>
    <t xml:space="preserve">Instagram</t>
  </si>
  <si>
    <t xml:space="preserve">Cross-post</t>
  </si>
  <si>
    <t xml:space="preserve">LI Time</t>
  </si>
  <si>
    <t xml:space="preserve">IG Time</t>
  </si>
  <si>
    <t xml:space="preserve">Goal</t>
  </si>
  <si>
    <t xml:space="preserve">08:30</t>
  </si>
  <si>
    <t xml:space="preserve">12:30</t>
  </si>
  <si>
    <t xml:space="preserve">Saves + shares; deep framework</t>
  </si>
  <si>
    <t xml:space="preserve">18:30</t>
  </si>
  <si>
    <t xml:space="preserve">Authority via data/diagram</t>
  </si>
  <si>
    <t xml:space="preserve">12:00</t>
  </si>
  <si>
    <t xml:space="preserve">19:00</t>
  </si>
  <si>
    <t xml:space="preserve">Reach + new followers</t>
  </si>
  <si>
    <t xml:space="preserve">Trust + YouTube library</t>
  </si>
  <si>
    <t xml:space="preserve">09:00</t>
  </si>
  <si>
    <t xml:space="preserve">Leads: case study / guide preview</t>
  </si>
  <si>
    <t xml:space="preserve">Daily engagement routine (20–30 min)</t>
  </si>
  <si>
    <t xml:space="preserve">15 min before posting: comment on 5–10 posts from e-commerce founders / Shopify experts.</t>
  </si>
  <si>
    <t xml:space="preserve">First 60 min after posting: reply to every comment; DM the freebie to every keyword comment.</t>
  </si>
  <si>
    <t xml:space="preserve">Pin a comment with extra detail or a question.</t>
  </si>
  <si>
    <t xml:space="preserve">Friday: record next week's Reel + long video voiceovers in one batch.</t>
  </si>
  <si>
    <t xml:space="preserve">Sunday: schedule Mon–Fri (LinkedIn native scheduler, Meta Business Suite for IG/FB, YouTube Studio, X).</t>
  </si>
  <si>
    <t xml:space="preserve">6-Month Theme Roadmap</t>
  </si>
  <si>
    <t xml:space="preserve">Theme</t>
  </si>
  <si>
    <t xml:space="preserve">Posts</t>
  </si>
  <si>
    <t xml:space="preserve">Slides</t>
  </si>
  <si>
    <t xml:space="preserve">Posts (img)</t>
  </si>
  <si>
    <t xml:space="preserve">Long Videos</t>
  </si>
  <si>
    <t xml:space="preserve">Introduce Mehrooz + Permanent SEO; win store owners preparing for BFCM; grow first followers.</t>
  </si>
  <si>
    <t xml:space="preserve">Show deep technical credibility; collect leads for Q1 technical audits.</t>
  </si>
  <si>
    <t xml:space="preserve">New-year planning; position Permanent SEO as the product-page SEO specialist.</t>
  </si>
  <si>
    <t xml:space="preserve">Own the 'topical authority for stores' angle; most-saved educational content.</t>
  </si>
  <si>
    <t xml:space="preserve">Lead the AI search conversation for e-commerce; high-share contrarian content.</t>
  </si>
  <si>
    <t xml:space="preserve">Convert authority into clients with proof, process and case studies.</t>
  </si>
  <si>
    <t xml:space="preserve">Total</t>
  </si>
  <si>
    <t xml:space="preserve">Platform Specs &amp; Cross-Posting Rules</t>
  </si>
  <si>
    <t xml:space="preserve">Formats</t>
  </si>
  <si>
    <t xml:space="preserve">Sizes / Length</t>
  </si>
  <si>
    <t xml:space="preserve">Hashtags</t>
  </si>
  <si>
    <t xml:space="preserve">Frequency</t>
  </si>
  <si>
    <t xml:space="preserve">Rules</t>
  </si>
  <si>
    <t xml:space="preserve">Image post, PDF carousel, native video, long video</t>
  </si>
  <si>
    <t xml:space="preserve">Image 1080x1350 · PDF 1080x1350 slides · video 16:9 or 9:16</t>
  </si>
  <si>
    <t xml:space="preserve">3–5</t>
  </si>
  <si>
    <t xml:space="preserve">5x/week (Mon–Fri)</t>
  </si>
  <si>
    <t xml:space="preserve">Upload natively (no links in the post body; put links in the first comment). Reply within first hour.</t>
  </si>
  <si>
    <t xml:space="preserve">Single post, carousel, Reels</t>
  </si>
  <si>
    <t xml:space="preserve">1080x1350 posts/carousels · Reels 1080x1920, 25–45 s</t>
  </si>
  <si>
    <t xml:space="preserve">10–15</t>
  </si>
  <si>
    <t xml:space="preserve">5x/week</t>
  </si>
  <si>
    <t xml:space="preserve">Keep text inside the Reel safe zone. Use 'Save this' line. Share every post to Stories.</t>
  </si>
  <si>
    <t xml:space="preserve">X (Twitter)</t>
  </si>
  <si>
    <t xml:space="preserve">Single post, thread, video</t>
  </si>
  <si>
    <t xml:space="preserve">≤280 chars per post · images 1080x1350 OK · video ≤2:20 for free accounts</t>
  </si>
  <si>
    <t xml:space="preserve">1–2</t>
  </si>
  <si>
    <t xml:space="preserve">5x/week + replies</t>
  </si>
  <si>
    <t xml:space="preserve">Threads on Mondays. Ask people to reply with the keyword.</t>
  </si>
  <si>
    <t xml:space="preserve">Image, carousel, Reels, native video</t>
  </si>
  <si>
    <t xml:space="preserve">Same as Instagram; long video 16:9</t>
  </si>
  <si>
    <t xml:space="preserve">5x/week (auto via Meta Business Suite)</t>
  </si>
  <si>
    <t xml:space="preserve">Cross-post from Instagram via Meta Business Suite; long video uploaded natively.</t>
  </si>
  <si>
    <t xml:space="preserve">YouTube</t>
  </si>
  <si>
    <t xml:space="preserve">Shorts (Wed), long video (Thu)</t>
  </si>
  <si>
    <t xml:space="preserve">Shorts 1080x1920 ≤60 s · Long 1920x1080 + 1280x720 thumbnail</t>
  </si>
  <si>
    <t xml:space="preserve">3 in description</t>
  </si>
  <si>
    <t xml:space="preserve">2x/week</t>
  </si>
  <si>
    <t xml:space="preserve">Keyword-first titles; add chapters to long videos; pin a comment with the keyword CTA.</t>
  </si>
  <si>
    <t xml:space="preserve">Text value post</t>
  </si>
  <si>
    <t xml:space="preserve">120–200 words, no links</t>
  </si>
  <si>
    <t xml:space="preserve">None</t>
  </si>
  <si>
    <t xml:space="preserve">1x/week (Mon)</t>
  </si>
  <si>
    <t xml:space="preserve">Follow each subreddit's self-promo rules; never ask for comment keywords; answer every reply; build karma by commenting first.</t>
  </si>
  <si>
    <t xml:space="preserve">Keyword &amp; Hashtag Bank</t>
  </si>
  <si>
    <t xml:space="preserve">Pulled from the calendar — reuse for new posts.</t>
  </si>
  <si>
    <t xml:space="preserve">Most-used hashtags</t>
  </si>
  <si>
    <t xml:space="preserve">Uses</t>
  </si>
  <si>
    <t xml:space="preserve">#ecommerceseo</t>
  </si>
  <si>
    <t xml:space="preserve">#shopifyseo</t>
  </si>
  <si>
    <t xml:space="preserve">#seotips</t>
  </si>
  <si>
    <t xml:space="preserve">#onlinestore</t>
  </si>
  <si>
    <t xml:space="preserve">#woocommerce</t>
  </si>
  <si>
    <t xml:space="preserve">#technicalseo</t>
  </si>
  <si>
    <t xml:space="preserve">#ecommercetips</t>
  </si>
  <si>
    <t xml:space="preserve">#semanticseo</t>
  </si>
  <si>
    <t xml:space="preserve">#shopifystore</t>
  </si>
  <si>
    <t xml:space="preserve">#seostrategy</t>
  </si>
  <si>
    <t xml:space="preserve">#aisearch</t>
  </si>
  <si>
    <t xml:space="preserve">#geo</t>
  </si>
  <si>
    <t xml:space="preserve">#productpages</t>
  </si>
  <si>
    <t xml:space="preserve">#seoexpert</t>
  </si>
  <si>
    <t xml:space="preserve">#onpageseo</t>
  </si>
  <si>
    <t xml:space="preserve">#contentstrategy</t>
  </si>
  <si>
    <t xml:space="preserve">#blackfriday</t>
  </si>
  <si>
    <t xml:space="preserve">#shopify</t>
  </si>
  <si>
    <t xml:space="preserve">#woocommerceseo</t>
  </si>
  <si>
    <t xml:space="preserve">#ecommerce</t>
  </si>
  <si>
    <t xml:space="preserve">#permanentseo</t>
  </si>
  <si>
    <t xml:space="preserve">#searchengineoptimization</t>
  </si>
  <si>
    <t xml:space="preserve">#chatgpt</t>
  </si>
  <si>
    <t xml:space="preserve">#linkbuilding</t>
  </si>
  <si>
    <t xml:space="preserve">#googlesearchconsole</t>
  </si>
  <si>
    <t xml:space="preserve">#seomyths</t>
  </si>
  <si>
    <t xml:space="preserve">#storeowner</t>
  </si>
  <si>
    <t xml:space="preserve">#casestudy</t>
  </si>
  <si>
    <t xml:space="preserve">#ecommercemarketing</t>
  </si>
  <si>
    <t xml:space="preserve">#seo</t>
  </si>
  <si>
    <t xml:space="preserve">#digitalpr</t>
  </si>
  <si>
    <t xml:space="preserve">#localseo</t>
  </si>
  <si>
    <t xml:space="preserve">#digitalmarketing</t>
  </si>
  <si>
    <t xml:space="preserve">#smallbusiness</t>
  </si>
  <si>
    <t xml:space="preserve">#ecommercegrowth</t>
  </si>
  <si>
    <t xml:space="preserve">#contentmarketing</t>
  </si>
  <si>
    <t xml:space="preserve">#topicalauthority</t>
  </si>
  <si>
    <t xml:space="preserve">#cybermonday</t>
  </si>
  <si>
    <t xml:space="preserve">#keywordresearch</t>
  </si>
  <si>
    <t xml:space="preserve">#seocasestudy</t>
  </si>
  <si>
    <t xml:space="preserve">Freebies Tracker (comment-keyword lead magnets)</t>
  </si>
  <si>
    <t xml:space="preserve">Create each asset before its post date. Paste the share link in column E.</t>
  </si>
  <si>
    <t xml:space="preserve">Post Date</t>
  </si>
  <si>
    <t xml:space="preserve">Asset Link</t>
  </si>
  <si>
    <t xml:space="preserve">Created?</t>
  </si>
  <si>
    <t xml:space="preserve">DMs Sent</t>
  </si>
  <si>
    <t xml:space="preserve">No</t>
  </si>
  <si>
    <t xml:space="preserve">Total DMs</t>
  </si>
</sst>
</file>

<file path=xl/styles.xml><?xml version="1.0" encoding="utf-8"?>
<styleSheet xmlns="http://schemas.openxmlformats.org/spreadsheetml/2006/main">
  <numFmts count="3">
    <numFmt numFmtId="164" formatCode="General"/>
    <numFmt numFmtId="165" formatCode="0.0%"/>
    <numFmt numFmtId="166" formatCode="dd\-mmm\-yyyy"/>
  </numFmts>
  <fonts count="16">
    <font>
      <sz val="11"/>
      <color theme="1"/>
      <name val="Calibri"/>
      <family val="2"/>
      <charset val="1"/>
    </font>
    <font>
      <sz val="10"/>
      <name val="Arial"/>
      <family val="0"/>
    </font>
    <font>
      <sz val="10"/>
      <name val="Arial"/>
      <family val="0"/>
    </font>
    <font>
      <sz val="10"/>
      <name val="Arial"/>
      <family val="0"/>
    </font>
    <font>
      <b val="true"/>
      <sz val="18"/>
      <color rgb="FF191A46"/>
      <name val="Arial"/>
      <family val="0"/>
      <charset val="1"/>
    </font>
    <font>
      <i val="true"/>
      <sz val="10"/>
      <color rgb="FF555555"/>
      <name val="Arial"/>
      <family val="0"/>
      <charset val="1"/>
    </font>
    <font>
      <b val="true"/>
      <sz val="11"/>
      <color rgb="FFFFFFFF"/>
      <name val="Arial"/>
      <family val="0"/>
      <charset val="1"/>
    </font>
    <font>
      <b val="true"/>
      <sz val="10"/>
      <color rgb="FF0B0F1F"/>
      <name val="Arial"/>
      <family val="0"/>
      <charset val="1"/>
    </font>
    <font>
      <sz val="10"/>
      <color rgb="FF0B0F1F"/>
      <name val="Arial"/>
      <family val="0"/>
      <charset val="1"/>
    </font>
    <font>
      <b val="true"/>
      <sz val="13"/>
      <color rgb="FF191A46"/>
      <name val="Arial"/>
      <family val="0"/>
      <charset val="1"/>
    </font>
    <font>
      <sz val="10"/>
      <name val="Arial"/>
      <family val="0"/>
      <charset val="1"/>
    </font>
    <font>
      <b val="true"/>
      <sz val="10"/>
      <color rgb="FFFFFFFF"/>
      <name val="Arial"/>
      <family val="0"/>
      <charset val="1"/>
    </font>
    <font>
      <b val="true"/>
      <sz val="11"/>
      <color rgb="FF0B0F1F"/>
      <name val="Arial"/>
      <family val="0"/>
      <charset val="1"/>
    </font>
    <font>
      <b val="true"/>
      <sz val="11"/>
      <color rgb="FF1566D7"/>
      <name val="Arial"/>
      <family val="0"/>
      <charset val="1"/>
    </font>
    <font>
      <b val="true"/>
      <sz val="12"/>
      <color rgb="FF191A46"/>
      <name val="Arial"/>
      <family val="0"/>
      <charset val="1"/>
    </font>
    <font>
      <b val="true"/>
      <sz val="10"/>
      <color rgb="FF1566D7"/>
      <name val="Arial"/>
      <family val="0"/>
      <charset val="1"/>
    </font>
  </fonts>
  <fills count="13">
    <fill>
      <patternFill patternType="none"/>
    </fill>
    <fill>
      <patternFill patternType="gray125"/>
    </fill>
    <fill>
      <patternFill patternType="solid">
        <fgColor rgb="FF1566D7"/>
        <bgColor rgb="FF345DF5"/>
      </patternFill>
    </fill>
    <fill>
      <patternFill patternType="solid">
        <fgColor rgb="FF345DF5"/>
        <bgColor rgb="FF1566D7"/>
      </patternFill>
    </fill>
    <fill>
      <patternFill patternType="solid">
        <fgColor rgb="FF191A46"/>
        <bgColor rgb="FF0B0F1F"/>
      </patternFill>
    </fill>
    <fill>
      <patternFill patternType="solid">
        <fgColor rgb="FF2B43B1"/>
        <bgColor rgb="FF345DF5"/>
      </patternFill>
    </fill>
    <fill>
      <patternFill patternType="solid">
        <fgColor rgb="FFF4F7FD"/>
        <bgColor rgb="FFEAF6EE"/>
      </patternFill>
    </fill>
    <fill>
      <patternFill patternType="solid">
        <fgColor rgb="FFF2C200"/>
        <bgColor rgb="FFFF9900"/>
      </patternFill>
    </fill>
    <fill>
      <patternFill patternType="solid">
        <fgColor rgb="FFE3ECFB"/>
        <bgColor rgb="FFEAF6EE"/>
      </patternFill>
    </fill>
    <fill>
      <patternFill patternType="solid">
        <fgColor rgb="FFFFFFFF"/>
        <bgColor rgb="FFF4F7FD"/>
      </patternFill>
    </fill>
    <fill>
      <patternFill patternType="solid">
        <fgColor rgb="FFEAF6EE"/>
        <bgColor rgb="FFF4F7FD"/>
      </patternFill>
    </fill>
    <fill>
      <patternFill patternType="solid">
        <fgColor rgb="FFFFF4E5"/>
        <bgColor rgb="FFFCE8F1"/>
      </patternFill>
    </fill>
    <fill>
      <patternFill patternType="solid">
        <fgColor rgb="FFFCE8F1"/>
        <bgColor rgb="FFFFF4E5"/>
      </patternFill>
    </fill>
  </fills>
  <borders count="2">
    <border diagonalUp="false" diagonalDown="false">
      <left/>
      <right/>
      <top/>
      <bottom/>
      <diagonal/>
    </border>
    <border diagonalUp="false" diagonalDown="false">
      <left style="thin">
        <color rgb="FFC9D3E6"/>
      </left>
      <right style="thin">
        <color rgb="FFC9D3E6"/>
      </right>
      <top style="thin">
        <color rgb="FFC9D3E6"/>
      </top>
      <bottom style="thin">
        <color rgb="FFC9D3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center" textRotation="0" wrapText="true" indent="0" shrinkToFit="false"/>
      <protection locked="true" hidden="false"/>
    </xf>
    <xf numFmtId="164" fontId="12" fillId="7" borderId="1" xfId="0" applyFont="true" applyBorder="true" applyAlignment="true" applyProtection="false">
      <alignment horizontal="general" vertical="center"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6" fontId="8" fillId="8" borderId="1" xfId="0" applyFont="true" applyBorder="true" applyAlignment="true" applyProtection="false">
      <alignment horizontal="general" vertical="top" textRotation="0" wrapText="true" indent="0" shrinkToFit="false"/>
      <protection locked="true" hidden="false"/>
    </xf>
    <xf numFmtId="164" fontId="13" fillId="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6" fontId="8" fillId="9" borderId="1" xfId="0" applyFont="true" applyBorder="true" applyAlignment="true" applyProtection="false">
      <alignment horizontal="general" vertical="top" textRotation="0" wrapText="true" indent="0" shrinkToFit="false"/>
      <protection locked="true" hidden="false"/>
    </xf>
    <xf numFmtId="164" fontId="13" fillId="9"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6" fontId="8" fillId="10" borderId="1" xfId="0" applyFont="true" applyBorder="true" applyAlignment="true" applyProtection="false">
      <alignment horizontal="general" vertical="top" textRotation="0" wrapText="true" indent="0" shrinkToFit="false"/>
      <protection locked="true" hidden="false"/>
    </xf>
    <xf numFmtId="164" fontId="13" fillId="10"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6" fontId="8" fillId="11" borderId="1" xfId="0" applyFont="true" applyBorder="true" applyAlignment="true" applyProtection="false">
      <alignment horizontal="general" vertical="top" textRotation="0" wrapText="true" indent="0" shrinkToFit="false"/>
      <protection locked="true" hidden="false"/>
    </xf>
    <xf numFmtId="164" fontId="13" fillId="11"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8" fillId="12"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91A46"/>
          <bgColor rgb="FF000000"/>
        </patternFill>
      </fill>
    </dxf>
    <dxf>
      <fill>
        <patternFill patternType="solid">
          <fgColor rgb="FFE3ECFB"/>
          <bgColor rgb="FF000000"/>
        </patternFill>
      </fill>
    </dxf>
    <dxf>
      <fill>
        <patternFill patternType="solid">
          <fgColor rgb="FFEAF6EE"/>
          <bgColor rgb="FF000000"/>
        </patternFill>
      </fill>
    </dxf>
    <dxf>
      <fill>
        <patternFill patternType="solid">
          <fgColor rgb="FFFFF4E5"/>
          <bgColor rgb="FF000000"/>
        </patternFill>
      </fill>
    </dxf>
    <dxf>
      <fill>
        <patternFill patternType="solid">
          <fgColor rgb="FFFFFFFF"/>
          <bgColor rgb="FF000000"/>
        </patternFill>
      </fill>
    </dxf>
    <dxf>
      <fill>
        <patternFill patternType="solid">
          <fgColor rgb="FF0B0F1F"/>
          <bgColor rgb="FF000000"/>
        </patternFill>
      </fill>
    </dxf>
    <dxf>
      <fill>
        <patternFill patternType="solid">
          <fgColor rgb="FF1566D7"/>
          <bgColor rgb="FF000000"/>
        </patternFill>
      </fill>
    </dxf>
    <dxf>
      <fill>
        <patternFill patternType="solid">
          <fgColor rgb="FFF2C200"/>
          <bgColor rgb="FF000000"/>
        </patternFill>
      </fill>
    </dxf>
    <dxf>
      <font>
        <name val="Arial"/>
        <charset val="1"/>
        <family val="0"/>
        <b val="1"/>
        <color rgb="FF006100"/>
      </font>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F4F7FD"/>
      <rgbColor rgb="FF808080"/>
      <rgbColor rgb="FF9999FF"/>
      <rgbColor rgb="FF993366"/>
      <rgbColor rgb="FFFFF4E5"/>
      <rgbColor rgb="FFEAF6EE"/>
      <rgbColor rgb="FF660066"/>
      <rgbColor rgb="FFFF8080"/>
      <rgbColor rgb="FF1566D7"/>
      <rgbColor rgb="FFC9D3E6"/>
      <rgbColor rgb="FF000080"/>
      <rgbColor rgb="FFFF00FF"/>
      <rgbColor rgb="FFFFFF00"/>
      <rgbColor rgb="FF00FFFF"/>
      <rgbColor rgb="FF800080"/>
      <rgbColor rgb="FF800000"/>
      <rgbColor rgb="FF008080"/>
      <rgbColor rgb="FF0000FF"/>
      <rgbColor rgb="FF00CCFF"/>
      <rgbColor rgb="FFE3ECFB"/>
      <rgbColor rgb="FFC6EFCE"/>
      <rgbColor rgb="FFFFEB9C"/>
      <rgbColor rgb="FF99CCFF"/>
      <rgbColor rgb="FFFF99CC"/>
      <rgbColor rgb="FFCC99FF"/>
      <rgbColor rgb="FFFCE8F1"/>
      <rgbColor rgb="FF345DF5"/>
      <rgbColor rgb="FF33CCCC"/>
      <rgbColor rgb="FF99CC00"/>
      <rgbColor rgb="FFF2C200"/>
      <rgbColor rgb="FFFF9900"/>
      <rgbColor rgb="FFFF6600"/>
      <rgbColor rgb="FF555555"/>
      <rgbColor rgb="FF969696"/>
      <rgbColor rgb="FF003366"/>
      <rgbColor rgb="FF339966"/>
      <rgbColor rgb="FF0B0F1F"/>
      <rgbColor rgb="FF333300"/>
      <rgbColor rgb="FF993300"/>
      <rgbColor rgb="FF993366"/>
      <rgbColor rgb="FF2B43B1"/>
      <rgbColor rgb="FF191A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6D7"/>
    <pageSetUpPr fitToPage="false"/>
  </sheetPr>
  <dimension ref="A1: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18"/>
  </cols>
  <sheetData>
    <row r="1" customFormat="false" ht="22.0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6" t="s">
        <v>4</v>
      </c>
    </row>
    <row r="6" customFormat="false" ht="15" hidden="false" customHeight="false" outlineLevel="0" collapsed="false">
      <c r="A6" s="5" t="s">
        <v>5</v>
      </c>
      <c r="B6" s="6" t="s">
        <v>6</v>
      </c>
    </row>
    <row r="7" customFormat="false" ht="15" hidden="false" customHeight="false" outlineLevel="0" collapsed="false">
      <c r="A7" s="5" t="s">
        <v>7</v>
      </c>
      <c r="B7" s="6" t="s">
        <v>8</v>
      </c>
    </row>
    <row r="8" customFormat="false" ht="15" hidden="false" customHeight="false" outlineLevel="0" collapsed="false">
      <c r="A8" s="5" t="s">
        <v>9</v>
      </c>
      <c r="B8" s="6" t="s">
        <v>10</v>
      </c>
    </row>
    <row r="9" customFormat="false" ht="15" hidden="false" customHeight="false" outlineLevel="0" collapsed="false">
      <c r="A9" s="5" t="s">
        <v>11</v>
      </c>
      <c r="B9" s="6" t="s">
        <v>12</v>
      </c>
    </row>
    <row r="10" customFormat="false" ht="23.85" hidden="false" customHeight="false" outlineLevel="0" collapsed="false">
      <c r="A10" s="5" t="s">
        <v>13</v>
      </c>
      <c r="B10" s="6" t="s">
        <v>14</v>
      </c>
    </row>
    <row r="11" customFormat="false" ht="15" hidden="false" customHeight="false" outlineLevel="0" collapsed="false">
      <c r="A11" s="3" t="s">
        <v>15</v>
      </c>
      <c r="B11" s="4"/>
    </row>
    <row r="12" customFormat="false" ht="15" hidden="false" customHeight="false" outlineLevel="0" collapsed="false">
      <c r="A12" s="5" t="s">
        <v>16</v>
      </c>
      <c r="B12" s="6" t="s">
        <v>17</v>
      </c>
      <c r="C12" s="4"/>
    </row>
    <row r="13" customFormat="false" ht="15" hidden="false" customHeight="false" outlineLevel="0" collapsed="false">
      <c r="A13" s="5" t="s">
        <v>18</v>
      </c>
      <c r="B13" s="6" t="s">
        <v>19</v>
      </c>
      <c r="C13" s="7"/>
    </row>
    <row r="14" customFormat="false" ht="15" hidden="false" customHeight="false" outlineLevel="0" collapsed="false">
      <c r="A14" s="5" t="s">
        <v>20</v>
      </c>
      <c r="B14" s="6" t="s">
        <v>21</v>
      </c>
      <c r="C14" s="8"/>
    </row>
    <row r="15" customFormat="false" ht="15" hidden="false" customHeight="false" outlineLevel="0" collapsed="false">
      <c r="A15" s="5" t="s">
        <v>22</v>
      </c>
      <c r="B15" s="6" t="s">
        <v>23</v>
      </c>
      <c r="C15" s="9"/>
    </row>
    <row r="16" customFormat="false" ht="15" hidden="false" customHeight="false" outlineLevel="0" collapsed="false">
      <c r="A16" s="5" t="s">
        <v>24</v>
      </c>
      <c r="B16" s="6" t="s">
        <v>25</v>
      </c>
      <c r="C16" s="10"/>
    </row>
    <row r="17" customFormat="false" ht="15" hidden="false" customHeight="false" outlineLevel="0" collapsed="false">
      <c r="A17" s="5" t="s">
        <v>26</v>
      </c>
      <c r="B17" s="6" t="s">
        <v>27</v>
      </c>
    </row>
    <row r="18" customFormat="false" ht="15" hidden="false" customHeight="false" outlineLevel="0" collapsed="false">
      <c r="A18" s="3" t="s">
        <v>28</v>
      </c>
      <c r="B18" s="4"/>
    </row>
    <row r="19" customFormat="false" ht="15" hidden="false" customHeight="false" outlineLevel="0" collapsed="false">
      <c r="A19" s="5" t="s">
        <v>29</v>
      </c>
      <c r="B19" s="6" t="s">
        <v>30</v>
      </c>
    </row>
    <row r="20" customFormat="false" ht="15" hidden="false" customHeight="false" outlineLevel="0" collapsed="false">
      <c r="A20" s="5" t="s">
        <v>31</v>
      </c>
      <c r="B20" s="6" t="s">
        <v>32</v>
      </c>
    </row>
    <row r="21" customFormat="false" ht="15" hidden="false" customHeight="false" outlineLevel="0" collapsed="false">
      <c r="A21" s="5" t="s">
        <v>33</v>
      </c>
      <c r="B21" s="6" t="s">
        <v>34</v>
      </c>
    </row>
    <row r="22" customFormat="false" ht="15" hidden="false" customHeight="false" outlineLevel="0" collapsed="false">
      <c r="A22" s="3" t="s">
        <v>35</v>
      </c>
      <c r="B22" s="4"/>
    </row>
    <row r="23" customFormat="false" ht="23.85" hidden="false" customHeight="false" outlineLevel="0" collapsed="false">
      <c r="A23" s="5" t="s">
        <v>36</v>
      </c>
      <c r="B23" s="6" t="s">
        <v>37</v>
      </c>
    </row>
    <row r="24" customFormat="false" ht="23.85" hidden="false" customHeight="false" outlineLevel="0" collapsed="false">
      <c r="A24" s="5" t="s">
        <v>38</v>
      </c>
      <c r="B24" s="6" t="s">
        <v>39</v>
      </c>
    </row>
    <row r="25" customFormat="false" ht="23.85" hidden="false" customHeight="false" outlineLevel="0" collapsed="false">
      <c r="A25" s="5" t="s">
        <v>40</v>
      </c>
      <c r="B25" s="6" t="s">
        <v>41</v>
      </c>
    </row>
    <row r="26" customFormat="false" ht="23.85" hidden="false" customHeight="false" outlineLevel="0" collapsed="false">
      <c r="A26" s="5" t="s">
        <v>42</v>
      </c>
      <c r="B26" s="6" t="s">
        <v>43</v>
      </c>
    </row>
    <row r="28" customFormat="false" ht="16.15" hidden="false" customHeight="false" outlineLevel="0" collapsed="false">
      <c r="A28" s="11" t="s">
        <v>44</v>
      </c>
    </row>
    <row r="29" customFormat="false" ht="15" hidden="false" customHeight="false" outlineLevel="0" collapsed="false">
      <c r="A29" s="12" t="s">
        <v>45</v>
      </c>
      <c r="B29" s="12" t="s">
        <v>46</v>
      </c>
    </row>
    <row r="30" customFormat="false" ht="15" hidden="false" customHeight="false" outlineLevel="0" collapsed="false">
      <c r="A30" s="5" t="s">
        <v>47</v>
      </c>
      <c r="B30" s="6" t="n">
        <f aca="false">COUNTA('Content Calendar'!B5:B134)</f>
        <v>130</v>
      </c>
    </row>
    <row r="31" customFormat="false" ht="15" hidden="false" customHeight="false" outlineLevel="0" collapsed="false">
      <c r="A31" s="5" t="s">
        <v>48</v>
      </c>
      <c r="B31" s="6" t="n">
        <f aca="false">COUNTIF('Content Calendar'!H5:H134,"SLIDE")</f>
        <v>26</v>
      </c>
    </row>
    <row r="32" customFormat="false" ht="15" hidden="false" customHeight="false" outlineLevel="0" collapsed="false">
      <c r="A32" s="5" t="s">
        <v>49</v>
      </c>
      <c r="B32" s="6" t="n">
        <f aca="false">COUNTIF('Content Calendar'!H5:H134,"POST")</f>
        <v>52</v>
      </c>
    </row>
    <row r="33" customFormat="false" ht="15" hidden="false" customHeight="false" outlineLevel="0" collapsed="false">
      <c r="A33" s="5" t="s">
        <v>50</v>
      </c>
      <c r="B33" s="6" t="n">
        <f aca="false">COUNTIF('Content Calendar'!H5:H134,"REEL")</f>
        <v>26</v>
      </c>
    </row>
    <row r="34" customFormat="false" ht="15" hidden="false" customHeight="false" outlineLevel="0" collapsed="false">
      <c r="A34" s="5" t="s">
        <v>51</v>
      </c>
      <c r="B34" s="6" t="n">
        <f aca="false">COUNTIF('Content Calendar'!H5:H134,"LONG_VIDEO")</f>
        <v>26</v>
      </c>
    </row>
    <row r="35" customFormat="false" ht="15" hidden="false" customHeight="false" outlineLevel="0" collapsed="false">
      <c r="A35" s="5" t="s">
        <v>52</v>
      </c>
      <c r="B35" s="6" t="n">
        <f aca="false">COUNTIF('Content Calendar'!AH5:AH134,"Posted")</f>
        <v>0</v>
      </c>
    </row>
    <row r="36" customFormat="false" ht="15" hidden="false" customHeight="false" outlineLevel="0" collapsed="false">
      <c r="A36" s="5" t="s">
        <v>53</v>
      </c>
      <c r="B36" s="6" t="n">
        <f aca="false">COUNTIF('Content Calendar'!AH5:AH134,"Scheduled")</f>
        <v>0</v>
      </c>
    </row>
    <row r="37" customFormat="false" ht="15" hidden="false" customHeight="false" outlineLevel="0" collapsed="false">
      <c r="A37" s="5" t="s">
        <v>54</v>
      </c>
      <c r="B37" s="13" t="n">
        <f aca="false">IFERROR(B35/B30,0)</f>
        <v>0</v>
      </c>
    </row>
    <row r="39" customFormat="false" ht="16.15" hidden="false" customHeight="false" outlineLevel="0" collapsed="false">
      <c r="A39" s="11" t="s">
        <v>55</v>
      </c>
    </row>
    <row r="40" customFormat="false" ht="30" hidden="false" customHeight="true" outlineLevel="0" collapsed="false">
      <c r="A40" s="14" t="s">
        <v>56</v>
      </c>
      <c r="B40" s="14"/>
      <c r="C40" s="14"/>
    </row>
    <row r="41" customFormat="false" ht="30" hidden="false" customHeight="true" outlineLevel="0" collapsed="false">
      <c r="A41" s="14" t="s">
        <v>57</v>
      </c>
      <c r="B41" s="14"/>
      <c r="C41" s="14"/>
    </row>
    <row r="42" customFormat="false" ht="30" hidden="false" customHeight="true" outlineLevel="0" collapsed="false">
      <c r="A42" s="14" t="s">
        <v>58</v>
      </c>
      <c r="B42" s="14"/>
      <c r="C42" s="14"/>
    </row>
    <row r="43" customFormat="false" ht="30" hidden="false" customHeight="true" outlineLevel="0" collapsed="false">
      <c r="A43" s="14" t="s">
        <v>59</v>
      </c>
      <c r="B43" s="14"/>
      <c r="C43" s="14"/>
    </row>
    <row r="44" customFormat="false" ht="30" hidden="false" customHeight="true" outlineLevel="0" collapsed="false">
      <c r="A44" s="14" t="s">
        <v>60</v>
      </c>
      <c r="B44" s="14"/>
      <c r="C44" s="14"/>
    </row>
    <row r="45" customFormat="false" ht="30" hidden="false" customHeight="true" outlineLevel="0" collapsed="false">
      <c r="A45" s="14" t="s">
        <v>61</v>
      </c>
      <c r="B45" s="14"/>
      <c r="C45" s="14"/>
    </row>
    <row r="46" customFormat="false" ht="30" hidden="false" customHeight="true" outlineLevel="0" collapsed="false">
      <c r="A46" s="14" t="s">
        <v>62</v>
      </c>
      <c r="B46" s="14"/>
      <c r="C46" s="14"/>
    </row>
    <row r="47" customFormat="false" ht="30" hidden="false" customHeight="true" outlineLevel="0" collapsed="false">
      <c r="A47" s="14" t="s">
        <v>63</v>
      </c>
      <c r="B47" s="14"/>
      <c r="C47" s="14"/>
    </row>
    <row r="48" customFormat="false" ht="30" hidden="false" customHeight="true" outlineLevel="0" collapsed="false">
      <c r="A48" s="14" t="s">
        <v>64</v>
      </c>
      <c r="B48" s="14"/>
      <c r="C48" s="14"/>
    </row>
  </sheetData>
  <mergeCells count="9">
    <mergeCell ref="A40:C40"/>
    <mergeCell ref="A41:C41"/>
    <mergeCell ref="A42:C42"/>
    <mergeCell ref="A43:C43"/>
    <mergeCell ref="A44:C44"/>
    <mergeCell ref="A45:C45"/>
    <mergeCell ref="A46:C46"/>
    <mergeCell ref="A47:C47"/>
    <mergeCell ref="A48:C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6D7"/>
    <pageSetUpPr fitToPage="false"/>
  </sheetPr>
  <dimension ref="A1:AI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1" ySplit="4" topLeftCell="L5" activePane="bottomRight" state="frozen"/>
      <selection pane="topLeft" activeCell="A1" activeCellId="0" sqref="A1"/>
      <selection pane="topRight" activeCell="L1" activeCellId="0" sqref="L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4" min="3" style="0" width="6"/>
    <col collapsed="false" customWidth="true" hidden="false" outlineLevel="0" max="5" min="5" style="0" width="9"/>
    <col collapsed="false" customWidth="true" hidden="false" outlineLevel="0" max="6" min="6" style="0" width="24"/>
    <col collapsed="false" customWidth="true" hidden="false" outlineLevel="0" max="7" min="7" style="0" width="14"/>
    <col collapsed="false" customWidth="true" hidden="false" outlineLevel="0" max="8" min="8" style="0" width="11"/>
    <col collapsed="false" customWidth="true" hidden="false" outlineLevel="0" max="10" min="9" style="0" width="20"/>
    <col collapsed="false" customWidth="true" hidden="false" outlineLevel="0" max="12" min="11" style="0" width="30"/>
    <col collapsed="false" customWidth="true" hidden="false" outlineLevel="0" max="13" min="13" style="0" width="22"/>
    <col collapsed="false" customWidth="true" hidden="false" outlineLevel="0" max="14" min="14" style="0" width="28"/>
    <col collapsed="false" customWidth="true" hidden="false" outlineLevel="0" max="15" min="15" style="0" width="60"/>
    <col collapsed="false" customWidth="true" hidden="false" outlineLevel="0" max="16" min="16" style="0" width="26"/>
    <col collapsed="false" customWidth="true" hidden="false" outlineLevel="0" max="17" min="17" style="0" width="50"/>
    <col collapsed="false" customWidth="true" hidden="false" outlineLevel="0" max="18" min="18" style="0" width="34"/>
    <col collapsed="false" customWidth="true" hidden="false" outlineLevel="0" max="21" min="19" style="0" width="60"/>
    <col collapsed="false" customWidth="true" hidden="false" outlineLevel="0" max="22" min="22" style="0" width="14"/>
    <col collapsed="false" customWidth="true" hidden="false" outlineLevel="0" max="23" min="23" style="0" width="28"/>
    <col collapsed="false" customWidth="true" hidden="false" outlineLevel="0" max="24" min="24" style="0" width="45"/>
    <col collapsed="false" customWidth="true" hidden="false" outlineLevel="0" max="25" min="25" style="0" width="30"/>
    <col collapsed="false" customWidth="true" hidden="false" outlineLevel="0" max="26" min="26" style="0" width="26"/>
    <col collapsed="false" customWidth="true" hidden="false" outlineLevel="0" max="27" min="27" style="0" width="32"/>
    <col collapsed="false" customWidth="true" hidden="false" outlineLevel="0" max="28" min="28" style="0" width="40"/>
    <col collapsed="false" customWidth="true" hidden="false" outlineLevel="0" max="29" min="29" style="0" width="32"/>
    <col collapsed="false" customWidth="true" hidden="false" outlineLevel="0" max="30" min="30" style="0" width="14"/>
    <col collapsed="false" customWidth="true" hidden="false" outlineLevel="0" max="31" min="31" style="0" width="32"/>
    <col collapsed="false" customWidth="true" hidden="false" outlineLevel="0" max="32" min="32" style="0" width="50"/>
    <col collapsed="false" customWidth="true" hidden="false" outlineLevel="0" max="34" min="33" style="0" width="12"/>
    <col collapsed="false" customWidth="true" hidden="false" outlineLevel="0" max="35" min="35" style="0" width="24"/>
  </cols>
  <sheetData>
    <row r="1" customFormat="false" ht="22.05" hidden="false" customHeight="false" outlineLevel="0" collapsed="false">
      <c r="A1" s="1" t="s">
        <v>65</v>
      </c>
    </row>
    <row r="2" customFormat="false" ht="15" hidden="false" customHeight="false" outlineLevel="0" collapsed="false">
      <c r="A2" s="2" t="s">
        <v>66</v>
      </c>
    </row>
    <row r="4" customFormat="false" ht="23.85" hidden="false" customHeight="false" outlineLevel="0" collapsed="false">
      <c r="A4" s="15" t="s">
        <v>67</v>
      </c>
      <c r="B4" s="15" t="s">
        <v>68</v>
      </c>
      <c r="C4" s="15" t="s">
        <v>69</v>
      </c>
      <c r="D4" s="15" t="s">
        <v>70</v>
      </c>
      <c r="E4" s="15" t="s">
        <v>71</v>
      </c>
      <c r="F4" s="15" t="s">
        <v>72</v>
      </c>
      <c r="G4" s="15" t="s">
        <v>73</v>
      </c>
      <c r="H4" s="15" t="s">
        <v>74</v>
      </c>
      <c r="I4" s="15" t="s">
        <v>75</v>
      </c>
      <c r="J4" s="15" t="s">
        <v>76</v>
      </c>
      <c r="K4" s="15" t="s">
        <v>77</v>
      </c>
      <c r="L4" s="15" t="s">
        <v>78</v>
      </c>
      <c r="M4" s="15" t="s">
        <v>79</v>
      </c>
      <c r="N4" s="15" t="s">
        <v>80</v>
      </c>
      <c r="O4" s="15" t="s">
        <v>81</v>
      </c>
      <c r="P4" s="15" t="s">
        <v>82</v>
      </c>
      <c r="Q4" s="15" t="s">
        <v>83</v>
      </c>
      <c r="R4" s="15" t="s">
        <v>84</v>
      </c>
      <c r="S4" s="15" t="s">
        <v>85</v>
      </c>
      <c r="T4" s="15" t="s">
        <v>86</v>
      </c>
      <c r="U4" s="15" t="s">
        <v>87</v>
      </c>
      <c r="V4" s="15" t="s">
        <v>88</v>
      </c>
      <c r="W4" s="15" t="s">
        <v>89</v>
      </c>
      <c r="X4" s="15" t="s">
        <v>90</v>
      </c>
      <c r="Y4" s="15" t="s">
        <v>91</v>
      </c>
      <c r="Z4" s="15" t="s">
        <v>92</v>
      </c>
      <c r="AA4" s="15" t="s">
        <v>93</v>
      </c>
      <c r="AB4" s="15" t="s">
        <v>94</v>
      </c>
      <c r="AC4" s="15" t="s">
        <v>95</v>
      </c>
      <c r="AD4" s="15" t="s">
        <v>96</v>
      </c>
      <c r="AE4" s="15" t="s">
        <v>97</v>
      </c>
      <c r="AF4" s="15" t="s">
        <v>98</v>
      </c>
      <c r="AG4" s="15" t="s">
        <v>99</v>
      </c>
      <c r="AH4" s="16" t="s">
        <v>100</v>
      </c>
      <c r="AI4" s="16" t="s">
        <v>101</v>
      </c>
    </row>
    <row r="5" customFormat="false" ht="219.75" hidden="false" customHeight="true" outlineLevel="0" collapsed="false">
      <c r="A5" s="17" t="n">
        <v>1</v>
      </c>
      <c r="B5" s="18" t="n">
        <v>46328</v>
      </c>
      <c r="C5" s="17" t="s">
        <v>102</v>
      </c>
      <c r="D5" s="17" t="n">
        <v>1</v>
      </c>
      <c r="E5" s="17" t="s">
        <v>103</v>
      </c>
      <c r="F5" s="17" t="s">
        <v>104</v>
      </c>
      <c r="G5" s="17" t="s">
        <v>105</v>
      </c>
      <c r="H5" s="17" t="s">
        <v>106</v>
      </c>
      <c r="I5" s="17" t="s">
        <v>107</v>
      </c>
      <c r="J5" s="17" t="s">
        <v>108</v>
      </c>
      <c r="K5" s="17" t="s">
        <v>109</v>
      </c>
      <c r="L5" s="17" t="s">
        <v>110</v>
      </c>
      <c r="M5" s="17" t="s">
        <v>111</v>
      </c>
      <c r="N5" s="17" t="s">
        <v>112</v>
      </c>
      <c r="O5" s="17" t="s">
        <v>113</v>
      </c>
      <c r="P5" s="17" t="s">
        <v>114</v>
      </c>
      <c r="Q5" s="17" t="s">
        <v>115</v>
      </c>
      <c r="R5" s="17" t="s">
        <v>116</v>
      </c>
      <c r="S5" s="17" t="s">
        <v>117</v>
      </c>
      <c r="T5" s="17" t="s">
        <v>118</v>
      </c>
      <c r="U5" s="17" t="s">
        <v>119</v>
      </c>
      <c r="V5" s="19" t="s">
        <v>120</v>
      </c>
      <c r="W5" s="17" t="s">
        <v>121</v>
      </c>
      <c r="X5" s="17" t="s">
        <v>122</v>
      </c>
      <c r="Y5" s="17" t="s">
        <v>123</v>
      </c>
      <c r="Z5" s="17" t="s">
        <v>124</v>
      </c>
      <c r="AA5" s="17"/>
      <c r="AB5" s="17"/>
      <c r="AC5" s="17"/>
      <c r="AD5" s="17" t="s">
        <v>125</v>
      </c>
      <c r="AE5" s="17" t="s">
        <v>126</v>
      </c>
      <c r="AF5" s="17" t="s">
        <v>127</v>
      </c>
      <c r="AG5" s="17" t="s">
        <v>128</v>
      </c>
      <c r="AH5" s="17" t="s">
        <v>129</v>
      </c>
      <c r="AI5" s="17"/>
    </row>
    <row r="6" customFormat="false" ht="219.75" hidden="false" customHeight="true" outlineLevel="0" collapsed="false">
      <c r="A6" s="20" t="n">
        <v>2</v>
      </c>
      <c r="B6" s="21" t="n">
        <v>46329</v>
      </c>
      <c r="C6" s="20" t="s">
        <v>130</v>
      </c>
      <c r="D6" s="20" t="n">
        <v>1</v>
      </c>
      <c r="E6" s="20" t="s">
        <v>103</v>
      </c>
      <c r="F6" s="20" t="s">
        <v>104</v>
      </c>
      <c r="G6" s="20" t="s">
        <v>131</v>
      </c>
      <c r="H6" s="20" t="s">
        <v>132</v>
      </c>
      <c r="I6" s="20" t="s">
        <v>133</v>
      </c>
      <c r="J6" s="20" t="s">
        <v>134</v>
      </c>
      <c r="K6" s="20" t="s">
        <v>135</v>
      </c>
      <c r="L6" s="20" t="s">
        <v>136</v>
      </c>
      <c r="M6" s="20" t="s">
        <v>137</v>
      </c>
      <c r="N6" s="20" t="s">
        <v>138</v>
      </c>
      <c r="O6" s="20" t="s">
        <v>139</v>
      </c>
      <c r="P6" s="20" t="s">
        <v>140</v>
      </c>
      <c r="Q6" s="20" t="s">
        <v>141</v>
      </c>
      <c r="R6" s="20" t="s">
        <v>142</v>
      </c>
      <c r="S6" s="20" t="s">
        <v>143</v>
      </c>
      <c r="T6" s="20" t="s">
        <v>144</v>
      </c>
      <c r="U6" s="20" t="s">
        <v>145</v>
      </c>
      <c r="V6" s="22" t="s">
        <v>146</v>
      </c>
      <c r="W6" s="20" t="s">
        <v>147</v>
      </c>
      <c r="X6" s="20" t="s">
        <v>148</v>
      </c>
      <c r="Y6" s="20" t="s">
        <v>123</v>
      </c>
      <c r="Z6" s="20" t="s">
        <v>149</v>
      </c>
      <c r="AA6" s="20"/>
      <c r="AB6" s="20"/>
      <c r="AC6" s="20"/>
      <c r="AD6" s="20"/>
      <c r="AE6" s="20"/>
      <c r="AF6" s="20"/>
      <c r="AG6" s="20" t="s">
        <v>150</v>
      </c>
      <c r="AH6" s="20" t="s">
        <v>129</v>
      </c>
      <c r="AI6" s="20"/>
    </row>
    <row r="7" customFormat="false" ht="219.75" hidden="false" customHeight="true" outlineLevel="0" collapsed="false">
      <c r="A7" s="23" t="n">
        <v>3</v>
      </c>
      <c r="B7" s="24" t="n">
        <v>46330</v>
      </c>
      <c r="C7" s="23" t="s">
        <v>151</v>
      </c>
      <c r="D7" s="23" t="n">
        <v>1</v>
      </c>
      <c r="E7" s="23" t="s">
        <v>103</v>
      </c>
      <c r="F7" s="23" t="s">
        <v>104</v>
      </c>
      <c r="G7" s="23" t="s">
        <v>152</v>
      </c>
      <c r="H7" s="23" t="s">
        <v>153</v>
      </c>
      <c r="I7" s="23" t="s">
        <v>154</v>
      </c>
      <c r="J7" s="23" t="s">
        <v>155</v>
      </c>
      <c r="K7" s="23" t="s">
        <v>156</v>
      </c>
      <c r="L7" s="23" t="s">
        <v>157</v>
      </c>
      <c r="M7" s="23" t="s">
        <v>158</v>
      </c>
      <c r="N7" s="23" t="s">
        <v>159</v>
      </c>
      <c r="O7" s="23" t="s">
        <v>160</v>
      </c>
      <c r="P7" s="23" t="s">
        <v>161</v>
      </c>
      <c r="Q7" s="23" t="s">
        <v>162</v>
      </c>
      <c r="R7" s="23" t="s">
        <v>163</v>
      </c>
      <c r="S7" s="23" t="s">
        <v>164</v>
      </c>
      <c r="T7" s="23" t="s">
        <v>165</v>
      </c>
      <c r="U7" s="23" t="s">
        <v>166</v>
      </c>
      <c r="V7" s="25" t="s">
        <v>167</v>
      </c>
      <c r="W7" s="23" t="s">
        <v>168</v>
      </c>
      <c r="X7" s="23" t="s">
        <v>169</v>
      </c>
      <c r="Y7" s="23" t="s">
        <v>170</v>
      </c>
      <c r="Z7" s="23" t="s">
        <v>171</v>
      </c>
      <c r="AA7" s="23" t="s">
        <v>172</v>
      </c>
      <c r="AB7" s="23" t="s">
        <v>173</v>
      </c>
      <c r="AC7" s="23" t="s">
        <v>174</v>
      </c>
      <c r="AD7" s="23"/>
      <c r="AE7" s="23"/>
      <c r="AF7" s="23"/>
      <c r="AG7" s="23" t="s">
        <v>175</v>
      </c>
      <c r="AH7" s="23" t="s">
        <v>129</v>
      </c>
      <c r="AI7" s="23"/>
    </row>
    <row r="8" customFormat="false" ht="219.75" hidden="false" customHeight="true" outlineLevel="0" collapsed="false">
      <c r="A8" s="26" t="n">
        <v>4</v>
      </c>
      <c r="B8" s="27" t="n">
        <v>46331</v>
      </c>
      <c r="C8" s="26" t="s">
        <v>176</v>
      </c>
      <c r="D8" s="26" t="n">
        <v>1</v>
      </c>
      <c r="E8" s="26" t="s">
        <v>103</v>
      </c>
      <c r="F8" s="26" t="s">
        <v>104</v>
      </c>
      <c r="G8" s="26" t="s">
        <v>177</v>
      </c>
      <c r="H8" s="26" t="s">
        <v>178</v>
      </c>
      <c r="I8" s="26" t="s">
        <v>179</v>
      </c>
      <c r="J8" s="26" t="s">
        <v>180</v>
      </c>
      <c r="K8" s="26" t="s">
        <v>181</v>
      </c>
      <c r="L8" s="26" t="s">
        <v>182</v>
      </c>
      <c r="M8" s="26" t="s">
        <v>183</v>
      </c>
      <c r="N8" s="26" t="s">
        <v>184</v>
      </c>
      <c r="O8" s="26" t="s">
        <v>185</v>
      </c>
      <c r="P8" s="26" t="s">
        <v>186</v>
      </c>
      <c r="Q8" s="26" t="s">
        <v>187</v>
      </c>
      <c r="R8" s="26" t="s">
        <v>188</v>
      </c>
      <c r="S8" s="26" t="s">
        <v>189</v>
      </c>
      <c r="T8" s="26" t="s">
        <v>190</v>
      </c>
      <c r="U8" s="26" t="s">
        <v>191</v>
      </c>
      <c r="V8" s="28" t="s">
        <v>192</v>
      </c>
      <c r="W8" s="26" t="s">
        <v>193</v>
      </c>
      <c r="X8" s="26" t="s">
        <v>194</v>
      </c>
      <c r="Y8" s="26" t="s">
        <v>195</v>
      </c>
      <c r="Z8" s="26" t="s">
        <v>196</v>
      </c>
      <c r="AA8" s="26" t="s">
        <v>197</v>
      </c>
      <c r="AB8" s="26" t="s">
        <v>198</v>
      </c>
      <c r="AC8" s="26" t="s">
        <v>199</v>
      </c>
      <c r="AD8" s="26"/>
      <c r="AE8" s="26"/>
      <c r="AF8" s="26"/>
      <c r="AG8" s="26" t="s">
        <v>150</v>
      </c>
      <c r="AH8" s="26" t="s">
        <v>129</v>
      </c>
      <c r="AI8" s="26"/>
    </row>
    <row r="9" customFormat="false" ht="219.75" hidden="false" customHeight="true" outlineLevel="0" collapsed="false">
      <c r="A9" s="20" t="n">
        <v>5</v>
      </c>
      <c r="B9" s="21" t="n">
        <v>46332</v>
      </c>
      <c r="C9" s="20" t="s">
        <v>200</v>
      </c>
      <c r="D9" s="20" t="n">
        <v>1</v>
      </c>
      <c r="E9" s="20" t="s">
        <v>103</v>
      </c>
      <c r="F9" s="20" t="s">
        <v>104</v>
      </c>
      <c r="G9" s="20" t="s">
        <v>201</v>
      </c>
      <c r="H9" s="20" t="s">
        <v>132</v>
      </c>
      <c r="I9" s="20" t="s">
        <v>133</v>
      </c>
      <c r="J9" s="20" t="s">
        <v>134</v>
      </c>
      <c r="K9" s="20" t="s">
        <v>202</v>
      </c>
      <c r="L9" s="20" t="s">
        <v>203</v>
      </c>
      <c r="M9" s="20" t="s">
        <v>204</v>
      </c>
      <c r="N9" s="20" t="s">
        <v>205</v>
      </c>
      <c r="O9" s="20" t="s">
        <v>206</v>
      </c>
      <c r="P9" s="20" t="s">
        <v>207</v>
      </c>
      <c r="Q9" s="20" t="s">
        <v>208</v>
      </c>
      <c r="R9" s="20" t="s">
        <v>209</v>
      </c>
      <c r="S9" s="20" t="s">
        <v>210</v>
      </c>
      <c r="T9" s="20" t="s">
        <v>211</v>
      </c>
      <c r="U9" s="20" t="s">
        <v>212</v>
      </c>
      <c r="V9" s="22" t="s">
        <v>213</v>
      </c>
      <c r="W9" s="20" t="s">
        <v>214</v>
      </c>
      <c r="X9" s="20" t="s">
        <v>215</v>
      </c>
      <c r="Y9" s="20" t="s">
        <v>123</v>
      </c>
      <c r="Z9" s="20" t="s">
        <v>149</v>
      </c>
      <c r="AA9" s="20"/>
      <c r="AB9" s="20"/>
      <c r="AC9" s="20"/>
      <c r="AD9" s="20"/>
      <c r="AE9" s="20"/>
      <c r="AF9" s="20"/>
      <c r="AG9" s="20" t="s">
        <v>216</v>
      </c>
      <c r="AH9" s="20" t="s">
        <v>129</v>
      </c>
      <c r="AI9" s="20"/>
    </row>
    <row r="10" customFormat="false" ht="219.75" hidden="false" customHeight="true" outlineLevel="0" collapsed="false">
      <c r="A10" s="17" t="n">
        <v>6</v>
      </c>
      <c r="B10" s="18" t="n">
        <v>46335</v>
      </c>
      <c r="C10" s="17" t="s">
        <v>102</v>
      </c>
      <c r="D10" s="17" t="n">
        <v>2</v>
      </c>
      <c r="E10" s="17" t="s">
        <v>103</v>
      </c>
      <c r="F10" s="17" t="s">
        <v>104</v>
      </c>
      <c r="G10" s="17" t="s">
        <v>105</v>
      </c>
      <c r="H10" s="17" t="s">
        <v>106</v>
      </c>
      <c r="I10" s="17" t="s">
        <v>107</v>
      </c>
      <c r="J10" s="17" t="s">
        <v>108</v>
      </c>
      <c r="K10" s="17" t="s">
        <v>217</v>
      </c>
      <c r="L10" s="17" t="s">
        <v>218</v>
      </c>
      <c r="M10" s="17" t="s">
        <v>219</v>
      </c>
      <c r="N10" s="17" t="s">
        <v>220</v>
      </c>
      <c r="O10" s="17" t="s">
        <v>221</v>
      </c>
      <c r="P10" s="17" t="s">
        <v>222</v>
      </c>
      <c r="Q10" s="17" t="s">
        <v>223</v>
      </c>
      <c r="R10" s="17" t="s">
        <v>224</v>
      </c>
      <c r="S10" s="17" t="s">
        <v>225</v>
      </c>
      <c r="T10" s="17" t="s">
        <v>226</v>
      </c>
      <c r="U10" s="17" t="s">
        <v>227</v>
      </c>
      <c r="V10" s="19" t="s">
        <v>228</v>
      </c>
      <c r="W10" s="17" t="s">
        <v>229</v>
      </c>
      <c r="X10" s="17" t="s">
        <v>230</v>
      </c>
      <c r="Y10" s="17" t="s">
        <v>123</v>
      </c>
      <c r="Z10" s="17" t="s">
        <v>124</v>
      </c>
      <c r="AA10" s="17"/>
      <c r="AB10" s="17"/>
      <c r="AC10" s="17"/>
      <c r="AD10" s="17" t="s">
        <v>231</v>
      </c>
      <c r="AE10" s="17" t="s">
        <v>232</v>
      </c>
      <c r="AF10" s="17" t="s">
        <v>233</v>
      </c>
      <c r="AG10" s="17" t="s">
        <v>128</v>
      </c>
      <c r="AH10" s="17" t="s">
        <v>129</v>
      </c>
      <c r="AI10" s="17"/>
    </row>
    <row r="11" customFormat="false" ht="219.75" hidden="false" customHeight="true" outlineLevel="0" collapsed="false">
      <c r="A11" s="20" t="n">
        <v>7</v>
      </c>
      <c r="B11" s="21" t="n">
        <v>46336</v>
      </c>
      <c r="C11" s="20" t="s">
        <v>130</v>
      </c>
      <c r="D11" s="20" t="n">
        <v>2</v>
      </c>
      <c r="E11" s="20" t="s">
        <v>103</v>
      </c>
      <c r="F11" s="20" t="s">
        <v>104</v>
      </c>
      <c r="G11" s="20" t="s">
        <v>131</v>
      </c>
      <c r="H11" s="20" t="s">
        <v>132</v>
      </c>
      <c r="I11" s="20" t="s">
        <v>133</v>
      </c>
      <c r="J11" s="20" t="s">
        <v>134</v>
      </c>
      <c r="K11" s="20" t="s">
        <v>234</v>
      </c>
      <c r="L11" s="20" t="s">
        <v>235</v>
      </c>
      <c r="M11" s="20" t="s">
        <v>236</v>
      </c>
      <c r="N11" s="20" t="s">
        <v>237</v>
      </c>
      <c r="O11" s="20" t="s">
        <v>238</v>
      </c>
      <c r="P11" s="20" t="s">
        <v>239</v>
      </c>
      <c r="Q11" s="20" t="s">
        <v>240</v>
      </c>
      <c r="R11" s="20" t="s">
        <v>241</v>
      </c>
      <c r="S11" s="20" t="s">
        <v>242</v>
      </c>
      <c r="T11" s="20" t="s">
        <v>243</v>
      </c>
      <c r="U11" s="20" t="s">
        <v>244</v>
      </c>
      <c r="V11" s="22" t="s">
        <v>245</v>
      </c>
      <c r="W11" s="20" t="s">
        <v>246</v>
      </c>
      <c r="X11" s="20" t="s">
        <v>247</v>
      </c>
      <c r="Y11" s="20" t="s">
        <v>123</v>
      </c>
      <c r="Z11" s="20" t="s">
        <v>149</v>
      </c>
      <c r="AA11" s="20"/>
      <c r="AB11" s="20"/>
      <c r="AC11" s="20"/>
      <c r="AD11" s="20"/>
      <c r="AE11" s="20"/>
      <c r="AF11" s="20"/>
      <c r="AG11" s="20" t="s">
        <v>150</v>
      </c>
      <c r="AH11" s="20" t="s">
        <v>129</v>
      </c>
      <c r="AI11" s="20"/>
    </row>
    <row r="12" customFormat="false" ht="219.75" hidden="false" customHeight="true" outlineLevel="0" collapsed="false">
      <c r="A12" s="23" t="n">
        <v>8</v>
      </c>
      <c r="B12" s="24" t="n">
        <v>46337</v>
      </c>
      <c r="C12" s="23" t="s">
        <v>151</v>
      </c>
      <c r="D12" s="23" t="n">
        <v>2</v>
      </c>
      <c r="E12" s="23" t="s">
        <v>103</v>
      </c>
      <c r="F12" s="23" t="s">
        <v>104</v>
      </c>
      <c r="G12" s="23" t="s">
        <v>152</v>
      </c>
      <c r="H12" s="23" t="s">
        <v>153</v>
      </c>
      <c r="I12" s="23" t="s">
        <v>154</v>
      </c>
      <c r="J12" s="23" t="s">
        <v>155</v>
      </c>
      <c r="K12" s="23" t="s">
        <v>248</v>
      </c>
      <c r="L12" s="23" t="s">
        <v>249</v>
      </c>
      <c r="M12" s="23" t="s">
        <v>250</v>
      </c>
      <c r="N12" s="23" t="s">
        <v>251</v>
      </c>
      <c r="O12" s="23" t="s">
        <v>252</v>
      </c>
      <c r="P12" s="23" t="s">
        <v>253</v>
      </c>
      <c r="Q12" s="23" t="s">
        <v>254</v>
      </c>
      <c r="R12" s="23" t="s">
        <v>255</v>
      </c>
      <c r="S12" s="23" t="s">
        <v>256</v>
      </c>
      <c r="T12" s="23" t="s">
        <v>165</v>
      </c>
      <c r="U12" s="23" t="s">
        <v>257</v>
      </c>
      <c r="V12" s="25" t="s">
        <v>258</v>
      </c>
      <c r="W12" s="23" t="s">
        <v>259</v>
      </c>
      <c r="X12" s="23" t="s">
        <v>260</v>
      </c>
      <c r="Y12" s="23" t="s">
        <v>170</v>
      </c>
      <c r="Z12" s="23" t="s">
        <v>171</v>
      </c>
      <c r="AA12" s="23" t="s">
        <v>261</v>
      </c>
      <c r="AB12" s="23" t="s">
        <v>262</v>
      </c>
      <c r="AC12" s="23" t="s">
        <v>263</v>
      </c>
      <c r="AD12" s="23"/>
      <c r="AE12" s="23"/>
      <c r="AF12" s="23"/>
      <c r="AG12" s="23" t="s">
        <v>175</v>
      </c>
      <c r="AH12" s="23" t="s">
        <v>129</v>
      </c>
      <c r="AI12" s="23"/>
    </row>
    <row r="13" customFormat="false" ht="219.75" hidden="false" customHeight="true" outlineLevel="0" collapsed="false">
      <c r="A13" s="26" t="n">
        <v>9</v>
      </c>
      <c r="B13" s="27" t="n">
        <v>46338</v>
      </c>
      <c r="C13" s="26" t="s">
        <v>176</v>
      </c>
      <c r="D13" s="26" t="n">
        <v>2</v>
      </c>
      <c r="E13" s="26" t="s">
        <v>103</v>
      </c>
      <c r="F13" s="26" t="s">
        <v>104</v>
      </c>
      <c r="G13" s="26" t="s">
        <v>177</v>
      </c>
      <c r="H13" s="26" t="s">
        <v>178</v>
      </c>
      <c r="I13" s="26" t="s">
        <v>179</v>
      </c>
      <c r="J13" s="26" t="s">
        <v>180</v>
      </c>
      <c r="K13" s="26" t="s">
        <v>264</v>
      </c>
      <c r="L13" s="26" t="s">
        <v>265</v>
      </c>
      <c r="M13" s="26" t="s">
        <v>266</v>
      </c>
      <c r="N13" s="26" t="s">
        <v>267</v>
      </c>
      <c r="O13" s="26" t="s">
        <v>268</v>
      </c>
      <c r="P13" s="26" t="s">
        <v>269</v>
      </c>
      <c r="Q13" s="26" t="s">
        <v>270</v>
      </c>
      <c r="R13" s="26" t="s">
        <v>271</v>
      </c>
      <c r="S13" s="26" t="s">
        <v>272</v>
      </c>
      <c r="T13" s="26" t="s">
        <v>273</v>
      </c>
      <c r="U13" s="26" t="s">
        <v>274</v>
      </c>
      <c r="V13" s="28" t="s">
        <v>275</v>
      </c>
      <c r="W13" s="26" t="s">
        <v>276</v>
      </c>
      <c r="X13" s="26" t="s">
        <v>277</v>
      </c>
      <c r="Y13" s="26" t="s">
        <v>195</v>
      </c>
      <c r="Z13" s="26" t="s">
        <v>196</v>
      </c>
      <c r="AA13" s="26" t="s">
        <v>278</v>
      </c>
      <c r="AB13" s="26" t="s">
        <v>279</v>
      </c>
      <c r="AC13" s="26" t="s">
        <v>280</v>
      </c>
      <c r="AD13" s="26"/>
      <c r="AE13" s="26"/>
      <c r="AF13" s="26"/>
      <c r="AG13" s="26" t="s">
        <v>150</v>
      </c>
      <c r="AH13" s="26" t="s">
        <v>129</v>
      </c>
      <c r="AI13" s="26"/>
    </row>
    <row r="14" customFormat="false" ht="219.75" hidden="false" customHeight="true" outlineLevel="0" collapsed="false">
      <c r="A14" s="20" t="n">
        <v>10</v>
      </c>
      <c r="B14" s="21" t="n">
        <v>46339</v>
      </c>
      <c r="C14" s="20" t="s">
        <v>200</v>
      </c>
      <c r="D14" s="20" t="n">
        <v>2</v>
      </c>
      <c r="E14" s="20" t="s">
        <v>103</v>
      </c>
      <c r="F14" s="20" t="s">
        <v>104</v>
      </c>
      <c r="G14" s="20" t="s">
        <v>201</v>
      </c>
      <c r="H14" s="20" t="s">
        <v>132</v>
      </c>
      <c r="I14" s="20" t="s">
        <v>133</v>
      </c>
      <c r="J14" s="20" t="s">
        <v>134</v>
      </c>
      <c r="K14" s="20" t="s">
        <v>281</v>
      </c>
      <c r="L14" s="20" t="s">
        <v>282</v>
      </c>
      <c r="M14" s="20" t="s">
        <v>283</v>
      </c>
      <c r="N14" s="20" t="s">
        <v>284</v>
      </c>
      <c r="O14" s="20" t="s">
        <v>285</v>
      </c>
      <c r="P14" s="20" t="s">
        <v>286</v>
      </c>
      <c r="Q14" s="20" t="s">
        <v>287</v>
      </c>
      <c r="R14" s="20" t="s">
        <v>288</v>
      </c>
      <c r="S14" s="20" t="s">
        <v>289</v>
      </c>
      <c r="T14" s="20" t="s">
        <v>290</v>
      </c>
      <c r="U14" s="20" t="s">
        <v>291</v>
      </c>
      <c r="V14" s="22" t="s">
        <v>292</v>
      </c>
      <c r="W14" s="20" t="s">
        <v>293</v>
      </c>
      <c r="X14" s="20" t="s">
        <v>294</v>
      </c>
      <c r="Y14" s="20" t="s">
        <v>123</v>
      </c>
      <c r="Z14" s="20" t="s">
        <v>149</v>
      </c>
      <c r="AA14" s="20"/>
      <c r="AB14" s="20"/>
      <c r="AC14" s="20"/>
      <c r="AD14" s="20"/>
      <c r="AE14" s="20"/>
      <c r="AF14" s="20"/>
      <c r="AG14" s="20" t="s">
        <v>216</v>
      </c>
      <c r="AH14" s="20" t="s">
        <v>129</v>
      </c>
      <c r="AI14" s="20"/>
    </row>
    <row r="15" customFormat="false" ht="219.75" hidden="false" customHeight="true" outlineLevel="0" collapsed="false">
      <c r="A15" s="17" t="n">
        <v>11</v>
      </c>
      <c r="B15" s="18" t="n">
        <v>46342</v>
      </c>
      <c r="C15" s="17" t="s">
        <v>102</v>
      </c>
      <c r="D15" s="17" t="n">
        <v>3</v>
      </c>
      <c r="E15" s="17" t="s">
        <v>103</v>
      </c>
      <c r="F15" s="17" t="s">
        <v>104</v>
      </c>
      <c r="G15" s="17" t="s">
        <v>105</v>
      </c>
      <c r="H15" s="17" t="s">
        <v>106</v>
      </c>
      <c r="I15" s="17" t="s">
        <v>107</v>
      </c>
      <c r="J15" s="17" t="s">
        <v>108</v>
      </c>
      <c r="K15" s="17" t="s">
        <v>295</v>
      </c>
      <c r="L15" s="17" t="s">
        <v>296</v>
      </c>
      <c r="M15" s="17" t="s">
        <v>297</v>
      </c>
      <c r="N15" s="17" t="s">
        <v>298</v>
      </c>
      <c r="O15" s="17" t="s">
        <v>299</v>
      </c>
      <c r="P15" s="17" t="s">
        <v>300</v>
      </c>
      <c r="Q15" s="17" t="s">
        <v>301</v>
      </c>
      <c r="R15" s="17" t="s">
        <v>302</v>
      </c>
      <c r="S15" s="17" t="s">
        <v>303</v>
      </c>
      <c r="T15" s="17" t="s">
        <v>304</v>
      </c>
      <c r="U15" s="17" t="s">
        <v>305</v>
      </c>
      <c r="V15" s="19" t="s">
        <v>306</v>
      </c>
      <c r="W15" s="17" t="s">
        <v>307</v>
      </c>
      <c r="X15" s="17" t="s">
        <v>308</v>
      </c>
      <c r="Y15" s="17" t="s">
        <v>123</v>
      </c>
      <c r="Z15" s="17" t="s">
        <v>124</v>
      </c>
      <c r="AA15" s="17"/>
      <c r="AB15" s="17"/>
      <c r="AC15" s="17"/>
      <c r="AD15" s="17" t="s">
        <v>125</v>
      </c>
      <c r="AE15" s="17" t="s">
        <v>309</v>
      </c>
      <c r="AF15" s="17" t="s">
        <v>310</v>
      </c>
      <c r="AG15" s="17" t="s">
        <v>128</v>
      </c>
      <c r="AH15" s="17" t="s">
        <v>129</v>
      </c>
      <c r="AI15" s="17"/>
    </row>
    <row r="16" customFormat="false" ht="219.75" hidden="false" customHeight="true" outlineLevel="0" collapsed="false">
      <c r="A16" s="20" t="n">
        <v>12</v>
      </c>
      <c r="B16" s="21" t="n">
        <v>46343</v>
      </c>
      <c r="C16" s="20" t="s">
        <v>130</v>
      </c>
      <c r="D16" s="20" t="n">
        <v>3</v>
      </c>
      <c r="E16" s="20" t="s">
        <v>103</v>
      </c>
      <c r="F16" s="20" t="s">
        <v>104</v>
      </c>
      <c r="G16" s="20" t="s">
        <v>131</v>
      </c>
      <c r="H16" s="20" t="s">
        <v>132</v>
      </c>
      <c r="I16" s="20" t="s">
        <v>133</v>
      </c>
      <c r="J16" s="20" t="s">
        <v>134</v>
      </c>
      <c r="K16" s="20" t="s">
        <v>311</v>
      </c>
      <c r="L16" s="20" t="s">
        <v>312</v>
      </c>
      <c r="M16" s="20" t="s">
        <v>313</v>
      </c>
      <c r="N16" s="20" t="s">
        <v>314</v>
      </c>
      <c r="O16" s="20" t="s">
        <v>315</v>
      </c>
      <c r="P16" s="20" t="s">
        <v>316</v>
      </c>
      <c r="Q16" s="20" t="s">
        <v>317</v>
      </c>
      <c r="R16" s="20" t="s">
        <v>318</v>
      </c>
      <c r="S16" s="20" t="s">
        <v>319</v>
      </c>
      <c r="T16" s="20" t="s">
        <v>320</v>
      </c>
      <c r="U16" s="20" t="s">
        <v>321</v>
      </c>
      <c r="V16" s="22" t="s">
        <v>322</v>
      </c>
      <c r="W16" s="20" t="s">
        <v>323</v>
      </c>
      <c r="X16" s="20" t="s">
        <v>324</v>
      </c>
      <c r="Y16" s="20" t="s">
        <v>123</v>
      </c>
      <c r="Z16" s="20" t="s">
        <v>149</v>
      </c>
      <c r="AA16" s="20"/>
      <c r="AB16" s="20"/>
      <c r="AC16" s="20"/>
      <c r="AD16" s="20"/>
      <c r="AE16" s="20"/>
      <c r="AF16" s="20"/>
      <c r="AG16" s="20" t="s">
        <v>150</v>
      </c>
      <c r="AH16" s="20" t="s">
        <v>129</v>
      </c>
      <c r="AI16" s="20"/>
    </row>
    <row r="17" customFormat="false" ht="219.75" hidden="false" customHeight="true" outlineLevel="0" collapsed="false">
      <c r="A17" s="23" t="n">
        <v>13</v>
      </c>
      <c r="B17" s="24" t="n">
        <v>46344</v>
      </c>
      <c r="C17" s="23" t="s">
        <v>151</v>
      </c>
      <c r="D17" s="23" t="n">
        <v>3</v>
      </c>
      <c r="E17" s="23" t="s">
        <v>103</v>
      </c>
      <c r="F17" s="23" t="s">
        <v>104</v>
      </c>
      <c r="G17" s="23" t="s">
        <v>152</v>
      </c>
      <c r="H17" s="23" t="s">
        <v>153</v>
      </c>
      <c r="I17" s="23" t="s">
        <v>154</v>
      </c>
      <c r="J17" s="23" t="s">
        <v>155</v>
      </c>
      <c r="K17" s="23" t="s">
        <v>325</v>
      </c>
      <c r="L17" s="23" t="s">
        <v>326</v>
      </c>
      <c r="M17" s="23" t="s">
        <v>327</v>
      </c>
      <c r="N17" s="23" t="s">
        <v>328</v>
      </c>
      <c r="O17" s="23" t="s">
        <v>329</v>
      </c>
      <c r="P17" s="23" t="s">
        <v>330</v>
      </c>
      <c r="Q17" s="23" t="s">
        <v>331</v>
      </c>
      <c r="R17" s="23" t="s">
        <v>332</v>
      </c>
      <c r="S17" s="23" t="s">
        <v>333</v>
      </c>
      <c r="T17" s="23" t="s">
        <v>165</v>
      </c>
      <c r="U17" s="23" t="s">
        <v>334</v>
      </c>
      <c r="V17" s="25" t="s">
        <v>335</v>
      </c>
      <c r="W17" s="23" t="s">
        <v>336</v>
      </c>
      <c r="X17" s="23" t="s">
        <v>337</v>
      </c>
      <c r="Y17" s="23" t="s">
        <v>170</v>
      </c>
      <c r="Z17" s="23" t="s">
        <v>171</v>
      </c>
      <c r="AA17" s="23" t="s">
        <v>338</v>
      </c>
      <c r="AB17" s="23" t="s">
        <v>339</v>
      </c>
      <c r="AC17" s="23" t="s">
        <v>340</v>
      </c>
      <c r="AD17" s="23"/>
      <c r="AE17" s="23"/>
      <c r="AF17" s="23"/>
      <c r="AG17" s="23" t="s">
        <v>175</v>
      </c>
      <c r="AH17" s="23" t="s">
        <v>129</v>
      </c>
      <c r="AI17" s="23"/>
    </row>
    <row r="18" customFormat="false" ht="219.75" hidden="false" customHeight="true" outlineLevel="0" collapsed="false">
      <c r="A18" s="26" t="n">
        <v>14</v>
      </c>
      <c r="B18" s="27" t="n">
        <v>46345</v>
      </c>
      <c r="C18" s="26" t="s">
        <v>176</v>
      </c>
      <c r="D18" s="26" t="n">
        <v>3</v>
      </c>
      <c r="E18" s="26" t="s">
        <v>103</v>
      </c>
      <c r="F18" s="26" t="s">
        <v>104</v>
      </c>
      <c r="G18" s="26" t="s">
        <v>177</v>
      </c>
      <c r="H18" s="26" t="s">
        <v>178</v>
      </c>
      <c r="I18" s="26" t="s">
        <v>179</v>
      </c>
      <c r="J18" s="26" t="s">
        <v>180</v>
      </c>
      <c r="K18" s="26" t="s">
        <v>341</v>
      </c>
      <c r="L18" s="26" t="s">
        <v>342</v>
      </c>
      <c r="M18" s="26" t="s">
        <v>343</v>
      </c>
      <c r="N18" s="26" t="s">
        <v>344</v>
      </c>
      <c r="O18" s="26" t="s">
        <v>345</v>
      </c>
      <c r="P18" s="26" t="s">
        <v>346</v>
      </c>
      <c r="Q18" s="26" t="s">
        <v>347</v>
      </c>
      <c r="R18" s="26" t="s">
        <v>348</v>
      </c>
      <c r="S18" s="26" t="s">
        <v>349</v>
      </c>
      <c r="T18" s="26" t="s">
        <v>350</v>
      </c>
      <c r="U18" s="26" t="s">
        <v>351</v>
      </c>
      <c r="V18" s="28" t="s">
        <v>352</v>
      </c>
      <c r="W18" s="26" t="s">
        <v>353</v>
      </c>
      <c r="X18" s="26" t="s">
        <v>354</v>
      </c>
      <c r="Y18" s="26" t="s">
        <v>195</v>
      </c>
      <c r="Z18" s="26" t="s">
        <v>196</v>
      </c>
      <c r="AA18" s="26" t="s">
        <v>355</v>
      </c>
      <c r="AB18" s="26" t="s">
        <v>356</v>
      </c>
      <c r="AC18" s="26" t="s">
        <v>357</v>
      </c>
      <c r="AD18" s="26"/>
      <c r="AE18" s="26"/>
      <c r="AF18" s="26"/>
      <c r="AG18" s="26" t="s">
        <v>150</v>
      </c>
      <c r="AH18" s="26" t="s">
        <v>129</v>
      </c>
      <c r="AI18" s="26"/>
    </row>
    <row r="19" customFormat="false" ht="219.75" hidden="false" customHeight="true" outlineLevel="0" collapsed="false">
      <c r="A19" s="20" t="n">
        <v>15</v>
      </c>
      <c r="B19" s="21" t="n">
        <v>46346</v>
      </c>
      <c r="C19" s="20" t="s">
        <v>200</v>
      </c>
      <c r="D19" s="20" t="n">
        <v>3</v>
      </c>
      <c r="E19" s="20" t="s">
        <v>103</v>
      </c>
      <c r="F19" s="20" t="s">
        <v>104</v>
      </c>
      <c r="G19" s="20" t="s">
        <v>201</v>
      </c>
      <c r="H19" s="20" t="s">
        <v>132</v>
      </c>
      <c r="I19" s="20" t="s">
        <v>133</v>
      </c>
      <c r="J19" s="20" t="s">
        <v>134</v>
      </c>
      <c r="K19" s="20" t="s">
        <v>358</v>
      </c>
      <c r="L19" s="20" t="s">
        <v>359</v>
      </c>
      <c r="M19" s="20" t="s">
        <v>360</v>
      </c>
      <c r="N19" s="20" t="s">
        <v>361</v>
      </c>
      <c r="O19" s="20" t="s">
        <v>362</v>
      </c>
      <c r="P19" s="20" t="s">
        <v>363</v>
      </c>
      <c r="Q19" s="20" t="s">
        <v>364</v>
      </c>
      <c r="R19" s="20" t="s">
        <v>365</v>
      </c>
      <c r="S19" s="20" t="s">
        <v>366</v>
      </c>
      <c r="T19" s="20" t="s">
        <v>367</v>
      </c>
      <c r="U19" s="20" t="s">
        <v>368</v>
      </c>
      <c r="V19" s="22" t="s">
        <v>369</v>
      </c>
      <c r="W19" s="20" t="s">
        <v>370</v>
      </c>
      <c r="X19" s="20" t="s">
        <v>371</v>
      </c>
      <c r="Y19" s="20" t="s">
        <v>123</v>
      </c>
      <c r="Z19" s="20" t="s">
        <v>149</v>
      </c>
      <c r="AA19" s="20"/>
      <c r="AB19" s="20"/>
      <c r="AC19" s="20"/>
      <c r="AD19" s="20"/>
      <c r="AE19" s="20"/>
      <c r="AF19" s="20"/>
      <c r="AG19" s="20" t="s">
        <v>216</v>
      </c>
      <c r="AH19" s="20" t="s">
        <v>129</v>
      </c>
      <c r="AI19" s="20"/>
    </row>
    <row r="20" customFormat="false" ht="219.75" hidden="false" customHeight="true" outlineLevel="0" collapsed="false">
      <c r="A20" s="17" t="n">
        <v>16</v>
      </c>
      <c r="B20" s="18" t="n">
        <v>46349</v>
      </c>
      <c r="C20" s="17" t="s">
        <v>102</v>
      </c>
      <c r="D20" s="17" t="n">
        <v>4</v>
      </c>
      <c r="E20" s="17" t="s">
        <v>103</v>
      </c>
      <c r="F20" s="17" t="s">
        <v>104</v>
      </c>
      <c r="G20" s="17" t="s">
        <v>105</v>
      </c>
      <c r="H20" s="17" t="s">
        <v>106</v>
      </c>
      <c r="I20" s="17" t="s">
        <v>107</v>
      </c>
      <c r="J20" s="17" t="s">
        <v>108</v>
      </c>
      <c r="K20" s="17" t="s">
        <v>372</v>
      </c>
      <c r="L20" s="17" t="s">
        <v>373</v>
      </c>
      <c r="M20" s="17" t="s">
        <v>374</v>
      </c>
      <c r="N20" s="17" t="s">
        <v>375</v>
      </c>
      <c r="O20" s="17" t="s">
        <v>376</v>
      </c>
      <c r="P20" s="17" t="s">
        <v>207</v>
      </c>
      <c r="Q20" s="17" t="s">
        <v>377</v>
      </c>
      <c r="R20" s="17" t="s">
        <v>378</v>
      </c>
      <c r="S20" s="17" t="s">
        <v>379</v>
      </c>
      <c r="T20" s="17" t="s">
        <v>380</v>
      </c>
      <c r="U20" s="17" t="s">
        <v>381</v>
      </c>
      <c r="V20" s="19" t="s">
        <v>382</v>
      </c>
      <c r="W20" s="17" t="s">
        <v>383</v>
      </c>
      <c r="X20" s="17" t="s">
        <v>384</v>
      </c>
      <c r="Y20" s="17" t="s">
        <v>123</v>
      </c>
      <c r="Z20" s="17" t="s">
        <v>124</v>
      </c>
      <c r="AA20" s="17"/>
      <c r="AB20" s="17"/>
      <c r="AC20" s="17"/>
      <c r="AD20" s="17" t="s">
        <v>231</v>
      </c>
      <c r="AE20" s="17" t="s">
        <v>385</v>
      </c>
      <c r="AF20" s="17" t="s">
        <v>386</v>
      </c>
      <c r="AG20" s="17" t="s">
        <v>128</v>
      </c>
      <c r="AH20" s="17" t="s">
        <v>129</v>
      </c>
      <c r="AI20" s="17"/>
    </row>
    <row r="21" customFormat="false" ht="219.75" hidden="false" customHeight="true" outlineLevel="0" collapsed="false">
      <c r="A21" s="20" t="n">
        <v>17</v>
      </c>
      <c r="B21" s="21" t="n">
        <v>46350</v>
      </c>
      <c r="C21" s="20" t="s">
        <v>130</v>
      </c>
      <c r="D21" s="20" t="n">
        <v>4</v>
      </c>
      <c r="E21" s="20" t="s">
        <v>103</v>
      </c>
      <c r="F21" s="20" t="s">
        <v>104</v>
      </c>
      <c r="G21" s="20" t="s">
        <v>131</v>
      </c>
      <c r="H21" s="20" t="s">
        <v>132</v>
      </c>
      <c r="I21" s="20" t="s">
        <v>133</v>
      </c>
      <c r="J21" s="20" t="s">
        <v>134</v>
      </c>
      <c r="K21" s="20" t="s">
        <v>387</v>
      </c>
      <c r="L21" s="20" t="s">
        <v>388</v>
      </c>
      <c r="M21" s="20" t="s">
        <v>389</v>
      </c>
      <c r="N21" s="20" t="s">
        <v>390</v>
      </c>
      <c r="O21" s="20" t="s">
        <v>391</v>
      </c>
      <c r="P21" s="20" t="s">
        <v>392</v>
      </c>
      <c r="Q21" s="20" t="s">
        <v>393</v>
      </c>
      <c r="R21" s="20" t="s">
        <v>394</v>
      </c>
      <c r="S21" s="20" t="s">
        <v>395</v>
      </c>
      <c r="T21" s="20" t="s">
        <v>396</v>
      </c>
      <c r="U21" s="20" t="s">
        <v>397</v>
      </c>
      <c r="V21" s="22" t="s">
        <v>398</v>
      </c>
      <c r="W21" s="20" t="s">
        <v>399</v>
      </c>
      <c r="X21" s="20" t="s">
        <v>400</v>
      </c>
      <c r="Y21" s="20" t="s">
        <v>123</v>
      </c>
      <c r="Z21" s="20" t="s">
        <v>149</v>
      </c>
      <c r="AA21" s="20"/>
      <c r="AB21" s="20"/>
      <c r="AC21" s="20"/>
      <c r="AD21" s="20"/>
      <c r="AE21" s="20"/>
      <c r="AF21" s="20"/>
      <c r="AG21" s="20" t="s">
        <v>150</v>
      </c>
      <c r="AH21" s="20" t="s">
        <v>129</v>
      </c>
      <c r="AI21" s="20"/>
    </row>
    <row r="22" customFormat="false" ht="219.75" hidden="false" customHeight="true" outlineLevel="0" collapsed="false">
      <c r="A22" s="23" t="n">
        <v>18</v>
      </c>
      <c r="B22" s="24" t="n">
        <v>46351</v>
      </c>
      <c r="C22" s="23" t="s">
        <v>151</v>
      </c>
      <c r="D22" s="23" t="n">
        <v>4</v>
      </c>
      <c r="E22" s="23" t="s">
        <v>103</v>
      </c>
      <c r="F22" s="23" t="s">
        <v>104</v>
      </c>
      <c r="G22" s="23" t="s">
        <v>152</v>
      </c>
      <c r="H22" s="23" t="s">
        <v>153</v>
      </c>
      <c r="I22" s="23" t="s">
        <v>154</v>
      </c>
      <c r="J22" s="23" t="s">
        <v>155</v>
      </c>
      <c r="K22" s="23" t="s">
        <v>401</v>
      </c>
      <c r="L22" s="23" t="s">
        <v>402</v>
      </c>
      <c r="M22" s="23" t="s">
        <v>403</v>
      </c>
      <c r="N22" s="23" t="s">
        <v>404</v>
      </c>
      <c r="O22" s="23" t="s">
        <v>405</v>
      </c>
      <c r="P22" s="23" t="s">
        <v>406</v>
      </c>
      <c r="Q22" s="23" t="s">
        <v>407</v>
      </c>
      <c r="R22" s="23" t="s">
        <v>408</v>
      </c>
      <c r="S22" s="23" t="s">
        <v>409</v>
      </c>
      <c r="T22" s="23" t="s">
        <v>165</v>
      </c>
      <c r="U22" s="23" t="s">
        <v>410</v>
      </c>
      <c r="V22" s="25" t="s">
        <v>411</v>
      </c>
      <c r="W22" s="23" t="s">
        <v>412</v>
      </c>
      <c r="X22" s="23" t="s">
        <v>413</v>
      </c>
      <c r="Y22" s="23" t="s">
        <v>170</v>
      </c>
      <c r="Z22" s="23" t="s">
        <v>171</v>
      </c>
      <c r="AA22" s="23" t="s">
        <v>414</v>
      </c>
      <c r="AB22" s="23" t="s">
        <v>415</v>
      </c>
      <c r="AC22" s="23" t="s">
        <v>416</v>
      </c>
      <c r="AD22" s="23"/>
      <c r="AE22" s="23"/>
      <c r="AF22" s="23"/>
      <c r="AG22" s="23" t="s">
        <v>175</v>
      </c>
      <c r="AH22" s="23" t="s">
        <v>129</v>
      </c>
      <c r="AI22" s="23"/>
    </row>
    <row r="23" customFormat="false" ht="219.75" hidden="false" customHeight="true" outlineLevel="0" collapsed="false">
      <c r="A23" s="26" t="n">
        <v>19</v>
      </c>
      <c r="B23" s="27" t="n">
        <v>46352</v>
      </c>
      <c r="C23" s="26" t="s">
        <v>176</v>
      </c>
      <c r="D23" s="26" t="n">
        <v>4</v>
      </c>
      <c r="E23" s="26" t="s">
        <v>103</v>
      </c>
      <c r="F23" s="26" t="s">
        <v>104</v>
      </c>
      <c r="G23" s="26" t="s">
        <v>177</v>
      </c>
      <c r="H23" s="26" t="s">
        <v>178</v>
      </c>
      <c r="I23" s="26" t="s">
        <v>179</v>
      </c>
      <c r="J23" s="26" t="s">
        <v>180</v>
      </c>
      <c r="K23" s="26" t="s">
        <v>417</v>
      </c>
      <c r="L23" s="26" t="s">
        <v>418</v>
      </c>
      <c r="M23" s="26" t="s">
        <v>419</v>
      </c>
      <c r="N23" s="26" t="s">
        <v>420</v>
      </c>
      <c r="O23" s="26" t="s">
        <v>421</v>
      </c>
      <c r="P23" s="26" t="s">
        <v>422</v>
      </c>
      <c r="Q23" s="26" t="s">
        <v>423</v>
      </c>
      <c r="R23" s="26" t="s">
        <v>424</v>
      </c>
      <c r="S23" s="26" t="s">
        <v>425</v>
      </c>
      <c r="T23" s="26" t="s">
        <v>426</v>
      </c>
      <c r="U23" s="26" t="s">
        <v>427</v>
      </c>
      <c r="V23" s="28" t="s">
        <v>428</v>
      </c>
      <c r="W23" s="26" t="s">
        <v>429</v>
      </c>
      <c r="X23" s="26" t="s">
        <v>430</v>
      </c>
      <c r="Y23" s="26" t="s">
        <v>195</v>
      </c>
      <c r="Z23" s="26" t="s">
        <v>196</v>
      </c>
      <c r="AA23" s="26" t="s">
        <v>431</v>
      </c>
      <c r="AB23" s="26" t="s">
        <v>432</v>
      </c>
      <c r="AC23" s="26" t="s">
        <v>433</v>
      </c>
      <c r="AD23" s="26"/>
      <c r="AE23" s="26"/>
      <c r="AF23" s="26"/>
      <c r="AG23" s="26" t="s">
        <v>150</v>
      </c>
      <c r="AH23" s="26" t="s">
        <v>129</v>
      </c>
      <c r="AI23" s="26"/>
    </row>
    <row r="24" customFormat="false" ht="219.75" hidden="false" customHeight="true" outlineLevel="0" collapsed="false">
      <c r="A24" s="20" t="n">
        <v>20</v>
      </c>
      <c r="B24" s="21" t="n">
        <v>46353</v>
      </c>
      <c r="C24" s="20" t="s">
        <v>200</v>
      </c>
      <c r="D24" s="20" t="n">
        <v>4</v>
      </c>
      <c r="E24" s="20" t="s">
        <v>103</v>
      </c>
      <c r="F24" s="20" t="s">
        <v>104</v>
      </c>
      <c r="G24" s="20" t="s">
        <v>201</v>
      </c>
      <c r="H24" s="20" t="s">
        <v>132</v>
      </c>
      <c r="I24" s="20" t="s">
        <v>133</v>
      </c>
      <c r="J24" s="20" t="s">
        <v>134</v>
      </c>
      <c r="K24" s="20" t="s">
        <v>434</v>
      </c>
      <c r="L24" s="20" t="s">
        <v>435</v>
      </c>
      <c r="M24" s="20" t="s">
        <v>436</v>
      </c>
      <c r="N24" s="20" t="s">
        <v>437</v>
      </c>
      <c r="O24" s="20" t="s">
        <v>438</v>
      </c>
      <c r="P24" s="20" t="s">
        <v>439</v>
      </c>
      <c r="Q24" s="20" t="s">
        <v>440</v>
      </c>
      <c r="R24" s="20" t="s">
        <v>441</v>
      </c>
      <c r="S24" s="20" t="s">
        <v>442</v>
      </c>
      <c r="T24" s="20" t="s">
        <v>443</v>
      </c>
      <c r="U24" s="20" t="s">
        <v>444</v>
      </c>
      <c r="V24" s="22" t="s">
        <v>445</v>
      </c>
      <c r="W24" s="20" t="s">
        <v>446</v>
      </c>
      <c r="X24" s="20" t="s">
        <v>447</v>
      </c>
      <c r="Y24" s="20" t="s">
        <v>123</v>
      </c>
      <c r="Z24" s="20" t="s">
        <v>149</v>
      </c>
      <c r="AA24" s="20"/>
      <c r="AB24" s="20"/>
      <c r="AC24" s="20"/>
      <c r="AD24" s="20"/>
      <c r="AE24" s="20"/>
      <c r="AF24" s="20"/>
      <c r="AG24" s="20" t="s">
        <v>216</v>
      </c>
      <c r="AH24" s="20" t="s">
        <v>129</v>
      </c>
      <c r="AI24" s="20"/>
    </row>
    <row r="25" customFormat="false" ht="219.75" hidden="false" customHeight="true" outlineLevel="0" collapsed="false">
      <c r="A25" s="17" t="n">
        <v>21</v>
      </c>
      <c r="B25" s="18" t="n">
        <v>46356</v>
      </c>
      <c r="C25" s="17" t="s">
        <v>102</v>
      </c>
      <c r="D25" s="17" t="n">
        <v>5</v>
      </c>
      <c r="E25" s="17" t="s">
        <v>103</v>
      </c>
      <c r="F25" s="17" t="s">
        <v>104</v>
      </c>
      <c r="G25" s="17" t="s">
        <v>105</v>
      </c>
      <c r="H25" s="17" t="s">
        <v>106</v>
      </c>
      <c r="I25" s="17" t="s">
        <v>107</v>
      </c>
      <c r="J25" s="17" t="s">
        <v>108</v>
      </c>
      <c r="K25" s="17" t="s">
        <v>448</v>
      </c>
      <c r="L25" s="17" t="s">
        <v>449</v>
      </c>
      <c r="M25" s="17" t="s">
        <v>450</v>
      </c>
      <c r="N25" s="17" t="s">
        <v>451</v>
      </c>
      <c r="O25" s="17" t="s">
        <v>452</v>
      </c>
      <c r="P25" s="17" t="s">
        <v>453</v>
      </c>
      <c r="Q25" s="17" t="s">
        <v>454</v>
      </c>
      <c r="R25" s="17" t="s">
        <v>455</v>
      </c>
      <c r="S25" s="17" t="s">
        <v>456</v>
      </c>
      <c r="T25" s="17" t="s">
        <v>457</v>
      </c>
      <c r="U25" s="17" t="s">
        <v>458</v>
      </c>
      <c r="V25" s="19" t="s">
        <v>459</v>
      </c>
      <c r="W25" s="17" t="s">
        <v>460</v>
      </c>
      <c r="X25" s="17" t="s">
        <v>461</v>
      </c>
      <c r="Y25" s="17" t="s">
        <v>123</v>
      </c>
      <c r="Z25" s="17" t="s">
        <v>124</v>
      </c>
      <c r="AA25" s="17"/>
      <c r="AB25" s="17"/>
      <c r="AC25" s="17"/>
      <c r="AD25" s="17" t="s">
        <v>125</v>
      </c>
      <c r="AE25" s="17" t="s">
        <v>462</v>
      </c>
      <c r="AF25" s="17" t="s">
        <v>463</v>
      </c>
      <c r="AG25" s="17" t="s">
        <v>128</v>
      </c>
      <c r="AH25" s="17" t="s">
        <v>129</v>
      </c>
      <c r="AI25" s="17"/>
    </row>
    <row r="26" customFormat="false" ht="219.75" hidden="false" customHeight="true" outlineLevel="0" collapsed="false">
      <c r="A26" s="20" t="n">
        <v>22</v>
      </c>
      <c r="B26" s="21" t="n">
        <v>46357</v>
      </c>
      <c r="C26" s="20" t="s">
        <v>130</v>
      </c>
      <c r="D26" s="20" t="n">
        <v>5</v>
      </c>
      <c r="E26" s="20" t="s">
        <v>464</v>
      </c>
      <c r="F26" s="20" t="s">
        <v>465</v>
      </c>
      <c r="G26" s="20" t="s">
        <v>131</v>
      </c>
      <c r="H26" s="20" t="s">
        <v>132</v>
      </c>
      <c r="I26" s="20" t="s">
        <v>133</v>
      </c>
      <c r="J26" s="20" t="s">
        <v>134</v>
      </c>
      <c r="K26" s="20" t="s">
        <v>466</v>
      </c>
      <c r="L26" s="20" t="s">
        <v>467</v>
      </c>
      <c r="M26" s="20" t="s">
        <v>468</v>
      </c>
      <c r="N26" s="20" t="s">
        <v>469</v>
      </c>
      <c r="O26" s="20" t="s">
        <v>470</v>
      </c>
      <c r="P26" s="20" t="s">
        <v>471</v>
      </c>
      <c r="Q26" s="20" t="s">
        <v>472</v>
      </c>
      <c r="R26" s="20" t="s">
        <v>473</v>
      </c>
      <c r="S26" s="20" t="s">
        <v>474</v>
      </c>
      <c r="T26" s="20" t="s">
        <v>475</v>
      </c>
      <c r="U26" s="20" t="s">
        <v>476</v>
      </c>
      <c r="V26" s="22" t="s">
        <v>477</v>
      </c>
      <c r="W26" s="20" t="s">
        <v>478</v>
      </c>
      <c r="X26" s="20" t="s">
        <v>479</v>
      </c>
      <c r="Y26" s="20" t="s">
        <v>123</v>
      </c>
      <c r="Z26" s="20" t="s">
        <v>149</v>
      </c>
      <c r="AA26" s="20"/>
      <c r="AB26" s="20"/>
      <c r="AC26" s="20"/>
      <c r="AD26" s="20"/>
      <c r="AE26" s="20"/>
      <c r="AF26" s="20"/>
      <c r="AG26" s="20" t="s">
        <v>150</v>
      </c>
      <c r="AH26" s="20" t="s">
        <v>129</v>
      </c>
      <c r="AI26" s="20"/>
    </row>
    <row r="27" customFormat="false" ht="219.75" hidden="false" customHeight="true" outlineLevel="0" collapsed="false">
      <c r="A27" s="23" t="n">
        <v>23</v>
      </c>
      <c r="B27" s="24" t="n">
        <v>46358</v>
      </c>
      <c r="C27" s="23" t="s">
        <v>151</v>
      </c>
      <c r="D27" s="23" t="n">
        <v>5</v>
      </c>
      <c r="E27" s="23" t="s">
        <v>464</v>
      </c>
      <c r="F27" s="23" t="s">
        <v>465</v>
      </c>
      <c r="G27" s="23" t="s">
        <v>152</v>
      </c>
      <c r="H27" s="23" t="s">
        <v>153</v>
      </c>
      <c r="I27" s="23" t="s">
        <v>154</v>
      </c>
      <c r="J27" s="23" t="s">
        <v>155</v>
      </c>
      <c r="K27" s="23" t="s">
        <v>480</v>
      </c>
      <c r="L27" s="23" t="s">
        <v>481</v>
      </c>
      <c r="M27" s="23" t="s">
        <v>482</v>
      </c>
      <c r="N27" s="23" t="s">
        <v>483</v>
      </c>
      <c r="O27" s="23" t="s">
        <v>484</v>
      </c>
      <c r="P27" s="23" t="s">
        <v>485</v>
      </c>
      <c r="Q27" s="23" t="s">
        <v>486</v>
      </c>
      <c r="R27" s="23" t="s">
        <v>487</v>
      </c>
      <c r="S27" s="23" t="s">
        <v>488</v>
      </c>
      <c r="T27" s="23" t="s">
        <v>165</v>
      </c>
      <c r="U27" s="23" t="s">
        <v>489</v>
      </c>
      <c r="V27" s="25" t="s">
        <v>490</v>
      </c>
      <c r="W27" s="23" t="s">
        <v>491</v>
      </c>
      <c r="X27" s="23" t="s">
        <v>492</v>
      </c>
      <c r="Y27" s="23" t="s">
        <v>170</v>
      </c>
      <c r="Z27" s="23" t="s">
        <v>171</v>
      </c>
      <c r="AA27" s="23" t="s">
        <v>493</v>
      </c>
      <c r="AB27" s="23" t="s">
        <v>494</v>
      </c>
      <c r="AC27" s="23" t="s">
        <v>495</v>
      </c>
      <c r="AD27" s="23"/>
      <c r="AE27" s="23"/>
      <c r="AF27" s="23"/>
      <c r="AG27" s="23" t="s">
        <v>175</v>
      </c>
      <c r="AH27" s="23" t="s">
        <v>129</v>
      </c>
      <c r="AI27" s="23"/>
    </row>
    <row r="28" customFormat="false" ht="219.75" hidden="false" customHeight="true" outlineLevel="0" collapsed="false">
      <c r="A28" s="26" t="n">
        <v>24</v>
      </c>
      <c r="B28" s="27" t="n">
        <v>46359</v>
      </c>
      <c r="C28" s="26" t="s">
        <v>176</v>
      </c>
      <c r="D28" s="26" t="n">
        <v>5</v>
      </c>
      <c r="E28" s="26" t="s">
        <v>464</v>
      </c>
      <c r="F28" s="26" t="s">
        <v>465</v>
      </c>
      <c r="G28" s="26" t="s">
        <v>177</v>
      </c>
      <c r="H28" s="26" t="s">
        <v>178</v>
      </c>
      <c r="I28" s="26" t="s">
        <v>179</v>
      </c>
      <c r="J28" s="26" t="s">
        <v>180</v>
      </c>
      <c r="K28" s="26" t="s">
        <v>496</v>
      </c>
      <c r="L28" s="26" t="s">
        <v>497</v>
      </c>
      <c r="M28" s="26" t="s">
        <v>498</v>
      </c>
      <c r="N28" s="26" t="s">
        <v>499</v>
      </c>
      <c r="O28" s="26" t="s">
        <v>500</v>
      </c>
      <c r="P28" s="26" t="s">
        <v>501</v>
      </c>
      <c r="Q28" s="26" t="s">
        <v>502</v>
      </c>
      <c r="R28" s="26" t="s">
        <v>503</v>
      </c>
      <c r="S28" s="26" t="s">
        <v>504</v>
      </c>
      <c r="T28" s="26" t="s">
        <v>505</v>
      </c>
      <c r="U28" s="26" t="s">
        <v>506</v>
      </c>
      <c r="V28" s="28" t="s">
        <v>507</v>
      </c>
      <c r="W28" s="26" t="s">
        <v>508</v>
      </c>
      <c r="X28" s="26" t="s">
        <v>509</v>
      </c>
      <c r="Y28" s="26" t="s">
        <v>195</v>
      </c>
      <c r="Z28" s="26" t="s">
        <v>196</v>
      </c>
      <c r="AA28" s="26" t="s">
        <v>510</v>
      </c>
      <c r="AB28" s="26" t="s">
        <v>511</v>
      </c>
      <c r="AC28" s="26" t="s">
        <v>512</v>
      </c>
      <c r="AD28" s="26"/>
      <c r="AE28" s="26"/>
      <c r="AF28" s="26"/>
      <c r="AG28" s="26" t="s">
        <v>150</v>
      </c>
      <c r="AH28" s="26" t="s">
        <v>129</v>
      </c>
      <c r="AI28" s="26"/>
    </row>
    <row r="29" customFormat="false" ht="219.75" hidden="false" customHeight="true" outlineLevel="0" collapsed="false">
      <c r="A29" s="20" t="n">
        <v>25</v>
      </c>
      <c r="B29" s="21" t="n">
        <v>46360</v>
      </c>
      <c r="C29" s="20" t="s">
        <v>200</v>
      </c>
      <c r="D29" s="20" t="n">
        <v>5</v>
      </c>
      <c r="E29" s="20" t="s">
        <v>464</v>
      </c>
      <c r="F29" s="20" t="s">
        <v>465</v>
      </c>
      <c r="G29" s="20" t="s">
        <v>201</v>
      </c>
      <c r="H29" s="20" t="s">
        <v>132</v>
      </c>
      <c r="I29" s="20" t="s">
        <v>133</v>
      </c>
      <c r="J29" s="20" t="s">
        <v>134</v>
      </c>
      <c r="K29" s="20" t="s">
        <v>513</v>
      </c>
      <c r="L29" s="20" t="s">
        <v>514</v>
      </c>
      <c r="M29" s="20" t="s">
        <v>515</v>
      </c>
      <c r="N29" s="20" t="s">
        <v>516</v>
      </c>
      <c r="O29" s="20" t="s">
        <v>517</v>
      </c>
      <c r="P29" s="20" t="s">
        <v>518</v>
      </c>
      <c r="Q29" s="20" t="s">
        <v>519</v>
      </c>
      <c r="R29" s="20" t="s">
        <v>520</v>
      </c>
      <c r="S29" s="20" t="s">
        <v>521</v>
      </c>
      <c r="T29" s="20" t="s">
        <v>522</v>
      </c>
      <c r="U29" s="20" t="s">
        <v>523</v>
      </c>
      <c r="V29" s="22" t="s">
        <v>524</v>
      </c>
      <c r="W29" s="20" t="s">
        <v>525</v>
      </c>
      <c r="X29" s="20" t="s">
        <v>526</v>
      </c>
      <c r="Y29" s="20" t="s">
        <v>123</v>
      </c>
      <c r="Z29" s="20" t="s">
        <v>149</v>
      </c>
      <c r="AA29" s="20"/>
      <c r="AB29" s="20"/>
      <c r="AC29" s="20"/>
      <c r="AD29" s="20"/>
      <c r="AE29" s="20"/>
      <c r="AF29" s="20"/>
      <c r="AG29" s="20" t="s">
        <v>216</v>
      </c>
      <c r="AH29" s="20" t="s">
        <v>129</v>
      </c>
      <c r="AI29" s="20"/>
    </row>
    <row r="30" customFormat="false" ht="219.75" hidden="false" customHeight="true" outlineLevel="0" collapsed="false">
      <c r="A30" s="17" t="n">
        <v>26</v>
      </c>
      <c r="B30" s="18" t="n">
        <v>46363</v>
      </c>
      <c r="C30" s="17" t="s">
        <v>102</v>
      </c>
      <c r="D30" s="17" t="n">
        <v>6</v>
      </c>
      <c r="E30" s="17" t="s">
        <v>464</v>
      </c>
      <c r="F30" s="17" t="s">
        <v>465</v>
      </c>
      <c r="G30" s="17" t="s">
        <v>105</v>
      </c>
      <c r="H30" s="17" t="s">
        <v>106</v>
      </c>
      <c r="I30" s="17" t="s">
        <v>107</v>
      </c>
      <c r="J30" s="17" t="s">
        <v>108</v>
      </c>
      <c r="K30" s="17" t="s">
        <v>527</v>
      </c>
      <c r="L30" s="17" t="s">
        <v>528</v>
      </c>
      <c r="M30" s="17" t="s">
        <v>529</v>
      </c>
      <c r="N30" s="17" t="s">
        <v>530</v>
      </c>
      <c r="O30" s="17" t="s">
        <v>531</v>
      </c>
      <c r="P30" s="17" t="s">
        <v>532</v>
      </c>
      <c r="Q30" s="17" t="s">
        <v>533</v>
      </c>
      <c r="R30" s="17" t="s">
        <v>534</v>
      </c>
      <c r="S30" s="17" t="s">
        <v>535</v>
      </c>
      <c r="T30" s="17" t="s">
        <v>536</v>
      </c>
      <c r="U30" s="17" t="s">
        <v>537</v>
      </c>
      <c r="V30" s="19" t="s">
        <v>538</v>
      </c>
      <c r="W30" s="17" t="s">
        <v>539</v>
      </c>
      <c r="X30" s="17" t="s">
        <v>540</v>
      </c>
      <c r="Y30" s="17" t="s">
        <v>123</v>
      </c>
      <c r="Z30" s="17" t="s">
        <v>124</v>
      </c>
      <c r="AA30" s="17"/>
      <c r="AB30" s="17"/>
      <c r="AC30" s="17"/>
      <c r="AD30" s="17" t="s">
        <v>541</v>
      </c>
      <c r="AE30" s="17" t="s">
        <v>542</v>
      </c>
      <c r="AF30" s="17" t="s">
        <v>543</v>
      </c>
      <c r="AG30" s="17" t="s">
        <v>128</v>
      </c>
      <c r="AH30" s="17" t="s">
        <v>129</v>
      </c>
      <c r="AI30" s="17"/>
    </row>
    <row r="31" customFormat="false" ht="219.75" hidden="false" customHeight="true" outlineLevel="0" collapsed="false">
      <c r="A31" s="20" t="n">
        <v>27</v>
      </c>
      <c r="B31" s="21" t="n">
        <v>46364</v>
      </c>
      <c r="C31" s="20" t="s">
        <v>130</v>
      </c>
      <c r="D31" s="20" t="n">
        <v>6</v>
      </c>
      <c r="E31" s="20" t="s">
        <v>464</v>
      </c>
      <c r="F31" s="20" t="s">
        <v>465</v>
      </c>
      <c r="G31" s="20" t="s">
        <v>131</v>
      </c>
      <c r="H31" s="20" t="s">
        <v>132</v>
      </c>
      <c r="I31" s="20" t="s">
        <v>133</v>
      </c>
      <c r="J31" s="20" t="s">
        <v>134</v>
      </c>
      <c r="K31" s="20" t="s">
        <v>544</v>
      </c>
      <c r="L31" s="20" t="s">
        <v>545</v>
      </c>
      <c r="M31" s="20" t="s">
        <v>546</v>
      </c>
      <c r="N31" s="20" t="s">
        <v>547</v>
      </c>
      <c r="O31" s="20" t="s">
        <v>548</v>
      </c>
      <c r="P31" s="20" t="s">
        <v>316</v>
      </c>
      <c r="Q31" s="20" t="s">
        <v>549</v>
      </c>
      <c r="R31" s="20" t="s">
        <v>550</v>
      </c>
      <c r="S31" s="20" t="s">
        <v>551</v>
      </c>
      <c r="T31" s="20" t="s">
        <v>552</v>
      </c>
      <c r="U31" s="20" t="s">
        <v>553</v>
      </c>
      <c r="V31" s="22" t="s">
        <v>554</v>
      </c>
      <c r="W31" s="20" t="s">
        <v>555</v>
      </c>
      <c r="X31" s="20" t="s">
        <v>556</v>
      </c>
      <c r="Y31" s="20" t="s">
        <v>123</v>
      </c>
      <c r="Z31" s="20" t="s">
        <v>149</v>
      </c>
      <c r="AA31" s="20"/>
      <c r="AB31" s="20"/>
      <c r="AC31" s="20"/>
      <c r="AD31" s="20"/>
      <c r="AE31" s="20"/>
      <c r="AF31" s="20"/>
      <c r="AG31" s="20" t="s">
        <v>150</v>
      </c>
      <c r="AH31" s="20" t="s">
        <v>129</v>
      </c>
      <c r="AI31" s="20"/>
    </row>
    <row r="32" customFormat="false" ht="219.75" hidden="false" customHeight="true" outlineLevel="0" collapsed="false">
      <c r="A32" s="23" t="n">
        <v>28</v>
      </c>
      <c r="B32" s="24" t="n">
        <v>46365</v>
      </c>
      <c r="C32" s="23" t="s">
        <v>151</v>
      </c>
      <c r="D32" s="23" t="n">
        <v>6</v>
      </c>
      <c r="E32" s="23" t="s">
        <v>464</v>
      </c>
      <c r="F32" s="23" t="s">
        <v>465</v>
      </c>
      <c r="G32" s="23" t="s">
        <v>152</v>
      </c>
      <c r="H32" s="23" t="s">
        <v>153</v>
      </c>
      <c r="I32" s="23" t="s">
        <v>154</v>
      </c>
      <c r="J32" s="23" t="s">
        <v>155</v>
      </c>
      <c r="K32" s="23" t="s">
        <v>557</v>
      </c>
      <c r="L32" s="23" t="s">
        <v>558</v>
      </c>
      <c r="M32" s="23" t="s">
        <v>559</v>
      </c>
      <c r="N32" s="23" t="s">
        <v>560</v>
      </c>
      <c r="O32" s="23" t="s">
        <v>561</v>
      </c>
      <c r="P32" s="23" t="s">
        <v>562</v>
      </c>
      <c r="Q32" s="23" t="s">
        <v>563</v>
      </c>
      <c r="R32" s="23" t="s">
        <v>564</v>
      </c>
      <c r="S32" s="23" t="s">
        <v>565</v>
      </c>
      <c r="T32" s="23" t="s">
        <v>165</v>
      </c>
      <c r="U32" s="23" t="s">
        <v>566</v>
      </c>
      <c r="V32" s="25" t="s">
        <v>567</v>
      </c>
      <c r="W32" s="23" t="s">
        <v>568</v>
      </c>
      <c r="X32" s="23" t="s">
        <v>569</v>
      </c>
      <c r="Y32" s="23" t="s">
        <v>170</v>
      </c>
      <c r="Z32" s="23" t="s">
        <v>171</v>
      </c>
      <c r="AA32" s="23" t="s">
        <v>570</v>
      </c>
      <c r="AB32" s="23" t="s">
        <v>571</v>
      </c>
      <c r="AC32" s="23" t="s">
        <v>572</v>
      </c>
      <c r="AD32" s="23"/>
      <c r="AE32" s="23"/>
      <c r="AF32" s="23"/>
      <c r="AG32" s="23" t="s">
        <v>175</v>
      </c>
      <c r="AH32" s="23" t="s">
        <v>129</v>
      </c>
      <c r="AI32" s="23"/>
    </row>
    <row r="33" customFormat="false" ht="219.75" hidden="false" customHeight="true" outlineLevel="0" collapsed="false">
      <c r="A33" s="26" t="n">
        <v>29</v>
      </c>
      <c r="B33" s="27" t="n">
        <v>46366</v>
      </c>
      <c r="C33" s="26" t="s">
        <v>176</v>
      </c>
      <c r="D33" s="26" t="n">
        <v>6</v>
      </c>
      <c r="E33" s="26" t="s">
        <v>464</v>
      </c>
      <c r="F33" s="26" t="s">
        <v>465</v>
      </c>
      <c r="G33" s="26" t="s">
        <v>177</v>
      </c>
      <c r="H33" s="26" t="s">
        <v>178</v>
      </c>
      <c r="I33" s="26" t="s">
        <v>179</v>
      </c>
      <c r="J33" s="26" t="s">
        <v>180</v>
      </c>
      <c r="K33" s="26" t="s">
        <v>573</v>
      </c>
      <c r="L33" s="26" t="s">
        <v>574</v>
      </c>
      <c r="M33" s="26" t="s">
        <v>575</v>
      </c>
      <c r="N33" s="26" t="s">
        <v>576</v>
      </c>
      <c r="O33" s="26" t="s">
        <v>577</v>
      </c>
      <c r="P33" s="26" t="s">
        <v>578</v>
      </c>
      <c r="Q33" s="26" t="s">
        <v>579</v>
      </c>
      <c r="R33" s="26" t="s">
        <v>580</v>
      </c>
      <c r="S33" s="26" t="s">
        <v>581</v>
      </c>
      <c r="T33" s="26" t="s">
        <v>582</v>
      </c>
      <c r="U33" s="26" t="s">
        <v>583</v>
      </c>
      <c r="V33" s="28" t="s">
        <v>584</v>
      </c>
      <c r="W33" s="26" t="s">
        <v>585</v>
      </c>
      <c r="X33" s="26" t="s">
        <v>586</v>
      </c>
      <c r="Y33" s="26" t="s">
        <v>195</v>
      </c>
      <c r="Z33" s="26" t="s">
        <v>196</v>
      </c>
      <c r="AA33" s="26" t="s">
        <v>587</v>
      </c>
      <c r="AB33" s="26" t="s">
        <v>588</v>
      </c>
      <c r="AC33" s="26" t="s">
        <v>589</v>
      </c>
      <c r="AD33" s="26"/>
      <c r="AE33" s="26"/>
      <c r="AF33" s="26"/>
      <c r="AG33" s="26" t="s">
        <v>150</v>
      </c>
      <c r="AH33" s="26" t="s">
        <v>129</v>
      </c>
      <c r="AI33" s="26"/>
    </row>
    <row r="34" customFormat="false" ht="219.75" hidden="false" customHeight="true" outlineLevel="0" collapsed="false">
      <c r="A34" s="20" t="n">
        <v>30</v>
      </c>
      <c r="B34" s="21" t="n">
        <v>46367</v>
      </c>
      <c r="C34" s="20" t="s">
        <v>200</v>
      </c>
      <c r="D34" s="20" t="n">
        <v>6</v>
      </c>
      <c r="E34" s="20" t="s">
        <v>464</v>
      </c>
      <c r="F34" s="20" t="s">
        <v>465</v>
      </c>
      <c r="G34" s="20" t="s">
        <v>201</v>
      </c>
      <c r="H34" s="20" t="s">
        <v>132</v>
      </c>
      <c r="I34" s="20" t="s">
        <v>133</v>
      </c>
      <c r="J34" s="20" t="s">
        <v>134</v>
      </c>
      <c r="K34" s="20" t="s">
        <v>590</v>
      </c>
      <c r="L34" s="20" t="s">
        <v>591</v>
      </c>
      <c r="M34" s="20" t="s">
        <v>592</v>
      </c>
      <c r="N34" s="20" t="s">
        <v>593</v>
      </c>
      <c r="O34" s="20" t="s">
        <v>594</v>
      </c>
      <c r="P34" s="20" t="s">
        <v>595</v>
      </c>
      <c r="Q34" s="20" t="s">
        <v>596</v>
      </c>
      <c r="R34" s="20" t="s">
        <v>597</v>
      </c>
      <c r="S34" s="20" t="s">
        <v>598</v>
      </c>
      <c r="T34" s="20" t="s">
        <v>599</v>
      </c>
      <c r="U34" s="20" t="s">
        <v>600</v>
      </c>
      <c r="V34" s="22" t="s">
        <v>601</v>
      </c>
      <c r="W34" s="20" t="s">
        <v>602</v>
      </c>
      <c r="X34" s="20" t="s">
        <v>603</v>
      </c>
      <c r="Y34" s="20" t="s">
        <v>123</v>
      </c>
      <c r="Z34" s="20" t="s">
        <v>149</v>
      </c>
      <c r="AA34" s="20"/>
      <c r="AB34" s="20"/>
      <c r="AC34" s="20"/>
      <c r="AD34" s="20"/>
      <c r="AE34" s="20"/>
      <c r="AF34" s="20"/>
      <c r="AG34" s="20" t="s">
        <v>216</v>
      </c>
      <c r="AH34" s="20" t="s">
        <v>129</v>
      </c>
      <c r="AI34" s="20"/>
    </row>
    <row r="35" customFormat="false" ht="219.75" hidden="false" customHeight="true" outlineLevel="0" collapsed="false">
      <c r="A35" s="17" t="n">
        <v>31</v>
      </c>
      <c r="B35" s="18" t="n">
        <v>46370</v>
      </c>
      <c r="C35" s="17" t="s">
        <v>102</v>
      </c>
      <c r="D35" s="17" t="n">
        <v>7</v>
      </c>
      <c r="E35" s="17" t="s">
        <v>464</v>
      </c>
      <c r="F35" s="17" t="s">
        <v>465</v>
      </c>
      <c r="G35" s="17" t="s">
        <v>105</v>
      </c>
      <c r="H35" s="17" t="s">
        <v>106</v>
      </c>
      <c r="I35" s="17" t="s">
        <v>107</v>
      </c>
      <c r="J35" s="17" t="s">
        <v>108</v>
      </c>
      <c r="K35" s="17" t="s">
        <v>604</v>
      </c>
      <c r="L35" s="17" t="s">
        <v>605</v>
      </c>
      <c r="M35" s="17" t="s">
        <v>606</v>
      </c>
      <c r="N35" s="17" t="s">
        <v>607</v>
      </c>
      <c r="O35" s="17" t="s">
        <v>608</v>
      </c>
      <c r="P35" s="17" t="s">
        <v>609</v>
      </c>
      <c r="Q35" s="17" t="s">
        <v>610</v>
      </c>
      <c r="R35" s="17" t="s">
        <v>611</v>
      </c>
      <c r="S35" s="17" t="s">
        <v>612</v>
      </c>
      <c r="T35" s="17" t="s">
        <v>613</v>
      </c>
      <c r="U35" s="17" t="s">
        <v>614</v>
      </c>
      <c r="V35" s="19" t="s">
        <v>615</v>
      </c>
      <c r="W35" s="17" t="s">
        <v>616</v>
      </c>
      <c r="X35" s="17" t="s">
        <v>617</v>
      </c>
      <c r="Y35" s="17" t="s">
        <v>123</v>
      </c>
      <c r="Z35" s="17" t="s">
        <v>124</v>
      </c>
      <c r="AA35" s="17"/>
      <c r="AB35" s="17"/>
      <c r="AC35" s="17"/>
      <c r="AD35" s="17" t="s">
        <v>231</v>
      </c>
      <c r="AE35" s="17" t="s">
        <v>618</v>
      </c>
      <c r="AF35" s="17" t="s">
        <v>619</v>
      </c>
      <c r="AG35" s="17" t="s">
        <v>128</v>
      </c>
      <c r="AH35" s="17" t="s">
        <v>129</v>
      </c>
      <c r="AI35" s="17"/>
    </row>
    <row r="36" customFormat="false" ht="219.75" hidden="false" customHeight="true" outlineLevel="0" collapsed="false">
      <c r="A36" s="20" t="n">
        <v>32</v>
      </c>
      <c r="B36" s="21" t="n">
        <v>46371</v>
      </c>
      <c r="C36" s="20" t="s">
        <v>130</v>
      </c>
      <c r="D36" s="20" t="n">
        <v>7</v>
      </c>
      <c r="E36" s="20" t="s">
        <v>464</v>
      </c>
      <c r="F36" s="20" t="s">
        <v>465</v>
      </c>
      <c r="G36" s="20" t="s">
        <v>131</v>
      </c>
      <c r="H36" s="20" t="s">
        <v>132</v>
      </c>
      <c r="I36" s="20" t="s">
        <v>133</v>
      </c>
      <c r="J36" s="20" t="s">
        <v>134</v>
      </c>
      <c r="K36" s="20" t="s">
        <v>620</v>
      </c>
      <c r="L36" s="20" t="s">
        <v>621</v>
      </c>
      <c r="M36" s="20" t="s">
        <v>622</v>
      </c>
      <c r="N36" s="20" t="s">
        <v>623</v>
      </c>
      <c r="O36" s="20" t="s">
        <v>624</v>
      </c>
      <c r="P36" s="20" t="s">
        <v>625</v>
      </c>
      <c r="Q36" s="20" t="s">
        <v>626</v>
      </c>
      <c r="R36" s="20" t="s">
        <v>627</v>
      </c>
      <c r="S36" s="20" t="s">
        <v>628</v>
      </c>
      <c r="T36" s="20" t="s">
        <v>629</v>
      </c>
      <c r="U36" s="20" t="s">
        <v>630</v>
      </c>
      <c r="V36" s="22" t="s">
        <v>631</v>
      </c>
      <c r="W36" s="20" t="s">
        <v>632</v>
      </c>
      <c r="X36" s="20" t="s">
        <v>633</v>
      </c>
      <c r="Y36" s="20" t="s">
        <v>123</v>
      </c>
      <c r="Z36" s="20" t="s">
        <v>149</v>
      </c>
      <c r="AA36" s="20"/>
      <c r="AB36" s="20"/>
      <c r="AC36" s="20"/>
      <c r="AD36" s="20"/>
      <c r="AE36" s="20"/>
      <c r="AF36" s="20"/>
      <c r="AG36" s="20" t="s">
        <v>150</v>
      </c>
      <c r="AH36" s="20" t="s">
        <v>129</v>
      </c>
      <c r="AI36" s="20"/>
    </row>
    <row r="37" customFormat="false" ht="219.75" hidden="false" customHeight="true" outlineLevel="0" collapsed="false">
      <c r="A37" s="23" t="n">
        <v>33</v>
      </c>
      <c r="B37" s="24" t="n">
        <v>46372</v>
      </c>
      <c r="C37" s="23" t="s">
        <v>151</v>
      </c>
      <c r="D37" s="23" t="n">
        <v>7</v>
      </c>
      <c r="E37" s="23" t="s">
        <v>464</v>
      </c>
      <c r="F37" s="23" t="s">
        <v>465</v>
      </c>
      <c r="G37" s="23" t="s">
        <v>152</v>
      </c>
      <c r="H37" s="23" t="s">
        <v>153</v>
      </c>
      <c r="I37" s="23" t="s">
        <v>154</v>
      </c>
      <c r="J37" s="23" t="s">
        <v>155</v>
      </c>
      <c r="K37" s="23" t="s">
        <v>634</v>
      </c>
      <c r="L37" s="23" t="s">
        <v>635</v>
      </c>
      <c r="M37" s="23" t="s">
        <v>636</v>
      </c>
      <c r="N37" s="23" t="s">
        <v>637</v>
      </c>
      <c r="O37" s="23" t="s">
        <v>638</v>
      </c>
      <c r="P37" s="23" t="s">
        <v>639</v>
      </c>
      <c r="Q37" s="23" t="s">
        <v>640</v>
      </c>
      <c r="R37" s="23" t="s">
        <v>641</v>
      </c>
      <c r="S37" s="23" t="s">
        <v>642</v>
      </c>
      <c r="T37" s="23" t="s">
        <v>165</v>
      </c>
      <c r="U37" s="23" t="s">
        <v>643</v>
      </c>
      <c r="V37" s="25" t="s">
        <v>644</v>
      </c>
      <c r="W37" s="23" t="s">
        <v>645</v>
      </c>
      <c r="X37" s="23" t="s">
        <v>646</v>
      </c>
      <c r="Y37" s="23" t="s">
        <v>170</v>
      </c>
      <c r="Z37" s="23" t="s">
        <v>171</v>
      </c>
      <c r="AA37" s="23" t="s">
        <v>647</v>
      </c>
      <c r="AB37" s="23" t="s">
        <v>648</v>
      </c>
      <c r="AC37" s="23" t="s">
        <v>649</v>
      </c>
      <c r="AD37" s="23"/>
      <c r="AE37" s="23"/>
      <c r="AF37" s="23"/>
      <c r="AG37" s="23" t="s">
        <v>175</v>
      </c>
      <c r="AH37" s="23" t="s">
        <v>129</v>
      </c>
      <c r="AI37" s="23"/>
    </row>
    <row r="38" customFormat="false" ht="219.75" hidden="false" customHeight="true" outlineLevel="0" collapsed="false">
      <c r="A38" s="26" t="n">
        <v>34</v>
      </c>
      <c r="B38" s="27" t="n">
        <v>46373</v>
      </c>
      <c r="C38" s="26" t="s">
        <v>176</v>
      </c>
      <c r="D38" s="26" t="n">
        <v>7</v>
      </c>
      <c r="E38" s="26" t="s">
        <v>464</v>
      </c>
      <c r="F38" s="26" t="s">
        <v>465</v>
      </c>
      <c r="G38" s="26" t="s">
        <v>177</v>
      </c>
      <c r="H38" s="26" t="s">
        <v>178</v>
      </c>
      <c r="I38" s="26" t="s">
        <v>179</v>
      </c>
      <c r="J38" s="26" t="s">
        <v>180</v>
      </c>
      <c r="K38" s="26" t="s">
        <v>650</v>
      </c>
      <c r="L38" s="26" t="s">
        <v>651</v>
      </c>
      <c r="M38" s="26" t="s">
        <v>652</v>
      </c>
      <c r="N38" s="26" t="s">
        <v>653</v>
      </c>
      <c r="O38" s="26" t="s">
        <v>654</v>
      </c>
      <c r="P38" s="26" t="s">
        <v>655</v>
      </c>
      <c r="Q38" s="26" t="s">
        <v>656</v>
      </c>
      <c r="R38" s="26" t="s">
        <v>657</v>
      </c>
      <c r="S38" s="26" t="s">
        <v>658</v>
      </c>
      <c r="T38" s="26" t="s">
        <v>659</v>
      </c>
      <c r="U38" s="26" t="s">
        <v>660</v>
      </c>
      <c r="V38" s="28" t="s">
        <v>661</v>
      </c>
      <c r="W38" s="26" t="s">
        <v>662</v>
      </c>
      <c r="X38" s="26" t="s">
        <v>663</v>
      </c>
      <c r="Y38" s="26" t="s">
        <v>195</v>
      </c>
      <c r="Z38" s="26" t="s">
        <v>196</v>
      </c>
      <c r="AA38" s="26" t="s">
        <v>664</v>
      </c>
      <c r="AB38" s="26" t="s">
        <v>665</v>
      </c>
      <c r="AC38" s="26" t="s">
        <v>666</v>
      </c>
      <c r="AD38" s="26"/>
      <c r="AE38" s="26"/>
      <c r="AF38" s="26"/>
      <c r="AG38" s="26" t="s">
        <v>150</v>
      </c>
      <c r="AH38" s="26" t="s">
        <v>129</v>
      </c>
      <c r="AI38" s="26"/>
    </row>
    <row r="39" customFormat="false" ht="219.75" hidden="false" customHeight="true" outlineLevel="0" collapsed="false">
      <c r="A39" s="20" t="n">
        <v>35</v>
      </c>
      <c r="B39" s="21" t="n">
        <v>46374</v>
      </c>
      <c r="C39" s="20" t="s">
        <v>200</v>
      </c>
      <c r="D39" s="20" t="n">
        <v>7</v>
      </c>
      <c r="E39" s="20" t="s">
        <v>464</v>
      </c>
      <c r="F39" s="20" t="s">
        <v>465</v>
      </c>
      <c r="G39" s="20" t="s">
        <v>201</v>
      </c>
      <c r="H39" s="20" t="s">
        <v>132</v>
      </c>
      <c r="I39" s="20" t="s">
        <v>133</v>
      </c>
      <c r="J39" s="20" t="s">
        <v>134</v>
      </c>
      <c r="K39" s="20" t="s">
        <v>667</v>
      </c>
      <c r="L39" s="20" t="s">
        <v>668</v>
      </c>
      <c r="M39" s="20" t="s">
        <v>669</v>
      </c>
      <c r="N39" s="20" t="s">
        <v>670</v>
      </c>
      <c r="O39" s="20" t="s">
        <v>671</v>
      </c>
      <c r="P39" s="20" t="s">
        <v>672</v>
      </c>
      <c r="Q39" s="20" t="s">
        <v>673</v>
      </c>
      <c r="R39" s="20" t="s">
        <v>674</v>
      </c>
      <c r="S39" s="20" t="s">
        <v>675</v>
      </c>
      <c r="T39" s="20" t="s">
        <v>676</v>
      </c>
      <c r="U39" s="20" t="s">
        <v>677</v>
      </c>
      <c r="V39" s="22" t="s">
        <v>678</v>
      </c>
      <c r="W39" s="20" t="s">
        <v>679</v>
      </c>
      <c r="X39" s="20" t="s">
        <v>680</v>
      </c>
      <c r="Y39" s="20" t="s">
        <v>123</v>
      </c>
      <c r="Z39" s="20" t="s">
        <v>149</v>
      </c>
      <c r="AA39" s="20"/>
      <c r="AB39" s="20"/>
      <c r="AC39" s="20"/>
      <c r="AD39" s="20"/>
      <c r="AE39" s="20"/>
      <c r="AF39" s="20"/>
      <c r="AG39" s="20" t="s">
        <v>216</v>
      </c>
      <c r="AH39" s="20" t="s">
        <v>129</v>
      </c>
      <c r="AI39" s="20"/>
    </row>
    <row r="40" customFormat="false" ht="219.75" hidden="false" customHeight="true" outlineLevel="0" collapsed="false">
      <c r="A40" s="17" t="n">
        <v>36</v>
      </c>
      <c r="B40" s="18" t="n">
        <v>46377</v>
      </c>
      <c r="C40" s="17" t="s">
        <v>102</v>
      </c>
      <c r="D40" s="17" t="n">
        <v>8</v>
      </c>
      <c r="E40" s="17" t="s">
        <v>464</v>
      </c>
      <c r="F40" s="17" t="s">
        <v>465</v>
      </c>
      <c r="G40" s="17" t="s">
        <v>105</v>
      </c>
      <c r="H40" s="17" t="s">
        <v>106</v>
      </c>
      <c r="I40" s="17" t="s">
        <v>107</v>
      </c>
      <c r="J40" s="17" t="s">
        <v>108</v>
      </c>
      <c r="K40" s="17" t="s">
        <v>681</v>
      </c>
      <c r="L40" s="17" t="s">
        <v>682</v>
      </c>
      <c r="M40" s="17" t="s">
        <v>683</v>
      </c>
      <c r="N40" s="17" t="s">
        <v>684</v>
      </c>
      <c r="O40" s="17" t="s">
        <v>685</v>
      </c>
      <c r="P40" s="17" t="s">
        <v>686</v>
      </c>
      <c r="Q40" s="17" t="s">
        <v>687</v>
      </c>
      <c r="R40" s="17" t="s">
        <v>688</v>
      </c>
      <c r="S40" s="17" t="s">
        <v>689</v>
      </c>
      <c r="T40" s="17" t="s">
        <v>690</v>
      </c>
      <c r="U40" s="17" t="s">
        <v>691</v>
      </c>
      <c r="V40" s="19" t="s">
        <v>692</v>
      </c>
      <c r="W40" s="17" t="s">
        <v>693</v>
      </c>
      <c r="X40" s="17" t="s">
        <v>694</v>
      </c>
      <c r="Y40" s="17" t="s">
        <v>123</v>
      </c>
      <c r="Z40" s="17" t="s">
        <v>124</v>
      </c>
      <c r="AA40" s="17"/>
      <c r="AB40" s="17"/>
      <c r="AC40" s="17"/>
      <c r="AD40" s="17" t="s">
        <v>695</v>
      </c>
      <c r="AE40" s="17" t="s">
        <v>696</v>
      </c>
      <c r="AF40" s="17" t="s">
        <v>697</v>
      </c>
      <c r="AG40" s="17" t="s">
        <v>128</v>
      </c>
      <c r="AH40" s="17" t="s">
        <v>129</v>
      </c>
      <c r="AI40" s="17"/>
    </row>
    <row r="41" customFormat="false" ht="219.75" hidden="false" customHeight="true" outlineLevel="0" collapsed="false">
      <c r="A41" s="20" t="n">
        <v>37</v>
      </c>
      <c r="B41" s="21" t="n">
        <v>46378</v>
      </c>
      <c r="C41" s="20" t="s">
        <v>130</v>
      </c>
      <c r="D41" s="20" t="n">
        <v>8</v>
      </c>
      <c r="E41" s="20" t="s">
        <v>464</v>
      </c>
      <c r="F41" s="20" t="s">
        <v>465</v>
      </c>
      <c r="G41" s="20" t="s">
        <v>131</v>
      </c>
      <c r="H41" s="20" t="s">
        <v>132</v>
      </c>
      <c r="I41" s="20" t="s">
        <v>133</v>
      </c>
      <c r="J41" s="20" t="s">
        <v>134</v>
      </c>
      <c r="K41" s="20" t="s">
        <v>698</v>
      </c>
      <c r="L41" s="20" t="s">
        <v>699</v>
      </c>
      <c r="M41" s="20" t="s">
        <v>700</v>
      </c>
      <c r="N41" s="20" t="s">
        <v>701</v>
      </c>
      <c r="O41" s="20" t="s">
        <v>702</v>
      </c>
      <c r="P41" s="20" t="s">
        <v>703</v>
      </c>
      <c r="Q41" s="20" t="s">
        <v>704</v>
      </c>
      <c r="R41" s="20" t="s">
        <v>705</v>
      </c>
      <c r="S41" s="20" t="s">
        <v>706</v>
      </c>
      <c r="T41" s="20" t="s">
        <v>707</v>
      </c>
      <c r="U41" s="20" t="s">
        <v>708</v>
      </c>
      <c r="V41" s="22" t="s">
        <v>709</v>
      </c>
      <c r="W41" s="20" t="s">
        <v>710</v>
      </c>
      <c r="X41" s="20" t="s">
        <v>711</v>
      </c>
      <c r="Y41" s="20" t="s">
        <v>123</v>
      </c>
      <c r="Z41" s="20" t="s">
        <v>149</v>
      </c>
      <c r="AA41" s="20"/>
      <c r="AB41" s="20"/>
      <c r="AC41" s="20"/>
      <c r="AD41" s="20"/>
      <c r="AE41" s="20"/>
      <c r="AF41" s="20"/>
      <c r="AG41" s="20" t="s">
        <v>150</v>
      </c>
      <c r="AH41" s="20" t="s">
        <v>129</v>
      </c>
      <c r="AI41" s="20"/>
    </row>
    <row r="42" customFormat="false" ht="219.75" hidden="false" customHeight="true" outlineLevel="0" collapsed="false">
      <c r="A42" s="23" t="n">
        <v>38</v>
      </c>
      <c r="B42" s="24" t="n">
        <v>46379</v>
      </c>
      <c r="C42" s="23" t="s">
        <v>151</v>
      </c>
      <c r="D42" s="23" t="n">
        <v>8</v>
      </c>
      <c r="E42" s="23" t="s">
        <v>464</v>
      </c>
      <c r="F42" s="23" t="s">
        <v>465</v>
      </c>
      <c r="G42" s="23" t="s">
        <v>152</v>
      </c>
      <c r="H42" s="23" t="s">
        <v>153</v>
      </c>
      <c r="I42" s="23" t="s">
        <v>154</v>
      </c>
      <c r="J42" s="23" t="s">
        <v>155</v>
      </c>
      <c r="K42" s="23" t="s">
        <v>712</v>
      </c>
      <c r="L42" s="23" t="s">
        <v>713</v>
      </c>
      <c r="M42" s="23" t="s">
        <v>714</v>
      </c>
      <c r="N42" s="23" t="s">
        <v>715</v>
      </c>
      <c r="O42" s="23" t="s">
        <v>716</v>
      </c>
      <c r="P42" s="23" t="s">
        <v>717</v>
      </c>
      <c r="Q42" s="23" t="s">
        <v>718</v>
      </c>
      <c r="R42" s="23" t="s">
        <v>719</v>
      </c>
      <c r="S42" s="23" t="s">
        <v>720</v>
      </c>
      <c r="T42" s="23" t="s">
        <v>165</v>
      </c>
      <c r="U42" s="23" t="s">
        <v>721</v>
      </c>
      <c r="V42" s="25" t="s">
        <v>722</v>
      </c>
      <c r="W42" s="23" t="s">
        <v>723</v>
      </c>
      <c r="X42" s="23" t="s">
        <v>724</v>
      </c>
      <c r="Y42" s="23" t="s">
        <v>170</v>
      </c>
      <c r="Z42" s="23" t="s">
        <v>171</v>
      </c>
      <c r="AA42" s="23" t="s">
        <v>725</v>
      </c>
      <c r="AB42" s="23" t="s">
        <v>726</v>
      </c>
      <c r="AC42" s="23" t="s">
        <v>727</v>
      </c>
      <c r="AD42" s="23"/>
      <c r="AE42" s="23"/>
      <c r="AF42" s="23"/>
      <c r="AG42" s="23" t="s">
        <v>175</v>
      </c>
      <c r="AH42" s="23" t="s">
        <v>129</v>
      </c>
      <c r="AI42" s="23"/>
    </row>
    <row r="43" customFormat="false" ht="219.75" hidden="false" customHeight="true" outlineLevel="0" collapsed="false">
      <c r="A43" s="26" t="n">
        <v>39</v>
      </c>
      <c r="B43" s="27" t="n">
        <v>46380</v>
      </c>
      <c r="C43" s="26" t="s">
        <v>176</v>
      </c>
      <c r="D43" s="26" t="n">
        <v>8</v>
      </c>
      <c r="E43" s="26" t="s">
        <v>464</v>
      </c>
      <c r="F43" s="26" t="s">
        <v>465</v>
      </c>
      <c r="G43" s="26" t="s">
        <v>177</v>
      </c>
      <c r="H43" s="26" t="s">
        <v>178</v>
      </c>
      <c r="I43" s="26" t="s">
        <v>179</v>
      </c>
      <c r="J43" s="26" t="s">
        <v>180</v>
      </c>
      <c r="K43" s="26" t="s">
        <v>728</v>
      </c>
      <c r="L43" s="26" t="s">
        <v>729</v>
      </c>
      <c r="M43" s="26" t="s">
        <v>730</v>
      </c>
      <c r="N43" s="26" t="s">
        <v>731</v>
      </c>
      <c r="O43" s="26" t="s">
        <v>732</v>
      </c>
      <c r="P43" s="26" t="s">
        <v>733</v>
      </c>
      <c r="Q43" s="26" t="s">
        <v>734</v>
      </c>
      <c r="R43" s="26" t="s">
        <v>735</v>
      </c>
      <c r="S43" s="26" t="s">
        <v>736</v>
      </c>
      <c r="T43" s="26" t="s">
        <v>737</v>
      </c>
      <c r="U43" s="26" t="s">
        <v>738</v>
      </c>
      <c r="V43" s="28" t="s">
        <v>739</v>
      </c>
      <c r="W43" s="26" t="s">
        <v>740</v>
      </c>
      <c r="X43" s="26" t="s">
        <v>741</v>
      </c>
      <c r="Y43" s="26" t="s">
        <v>195</v>
      </c>
      <c r="Z43" s="26" t="s">
        <v>196</v>
      </c>
      <c r="AA43" s="26" t="s">
        <v>742</v>
      </c>
      <c r="AB43" s="26" t="s">
        <v>743</v>
      </c>
      <c r="AC43" s="26" t="s">
        <v>744</v>
      </c>
      <c r="AD43" s="26"/>
      <c r="AE43" s="26"/>
      <c r="AF43" s="26"/>
      <c r="AG43" s="26" t="s">
        <v>150</v>
      </c>
      <c r="AH43" s="26" t="s">
        <v>129</v>
      </c>
      <c r="AI43" s="26"/>
    </row>
    <row r="44" customFormat="false" ht="219.75" hidden="false" customHeight="true" outlineLevel="0" collapsed="false">
      <c r="A44" s="20" t="n">
        <v>40</v>
      </c>
      <c r="B44" s="21" t="n">
        <v>46381</v>
      </c>
      <c r="C44" s="20" t="s">
        <v>200</v>
      </c>
      <c r="D44" s="20" t="n">
        <v>8</v>
      </c>
      <c r="E44" s="20" t="s">
        <v>464</v>
      </c>
      <c r="F44" s="20" t="s">
        <v>465</v>
      </c>
      <c r="G44" s="20" t="s">
        <v>201</v>
      </c>
      <c r="H44" s="20" t="s">
        <v>132</v>
      </c>
      <c r="I44" s="20" t="s">
        <v>133</v>
      </c>
      <c r="J44" s="20" t="s">
        <v>134</v>
      </c>
      <c r="K44" s="20" t="s">
        <v>745</v>
      </c>
      <c r="L44" s="20" t="s">
        <v>746</v>
      </c>
      <c r="M44" s="20" t="s">
        <v>747</v>
      </c>
      <c r="N44" s="20" t="s">
        <v>748</v>
      </c>
      <c r="O44" s="20" t="s">
        <v>749</v>
      </c>
      <c r="P44" s="20" t="s">
        <v>750</v>
      </c>
      <c r="Q44" s="20" t="s">
        <v>751</v>
      </c>
      <c r="R44" s="20" t="s">
        <v>752</v>
      </c>
      <c r="S44" s="20" t="s">
        <v>753</v>
      </c>
      <c r="T44" s="20" t="s">
        <v>754</v>
      </c>
      <c r="U44" s="20" t="s">
        <v>755</v>
      </c>
      <c r="V44" s="22" t="s">
        <v>756</v>
      </c>
      <c r="W44" s="20" t="s">
        <v>757</v>
      </c>
      <c r="X44" s="20" t="s">
        <v>758</v>
      </c>
      <c r="Y44" s="20" t="s">
        <v>123</v>
      </c>
      <c r="Z44" s="20" t="s">
        <v>149</v>
      </c>
      <c r="AA44" s="20"/>
      <c r="AB44" s="20"/>
      <c r="AC44" s="20"/>
      <c r="AD44" s="20"/>
      <c r="AE44" s="20"/>
      <c r="AF44" s="20"/>
      <c r="AG44" s="20" t="s">
        <v>216</v>
      </c>
      <c r="AH44" s="20" t="s">
        <v>129</v>
      </c>
      <c r="AI44" s="20"/>
    </row>
    <row r="45" customFormat="false" ht="219.75" hidden="false" customHeight="true" outlineLevel="0" collapsed="false">
      <c r="A45" s="17" t="n">
        <v>41</v>
      </c>
      <c r="B45" s="18" t="n">
        <v>46384</v>
      </c>
      <c r="C45" s="17" t="s">
        <v>102</v>
      </c>
      <c r="D45" s="17" t="n">
        <v>9</v>
      </c>
      <c r="E45" s="17" t="s">
        <v>464</v>
      </c>
      <c r="F45" s="17" t="s">
        <v>465</v>
      </c>
      <c r="G45" s="17" t="s">
        <v>105</v>
      </c>
      <c r="H45" s="17" t="s">
        <v>106</v>
      </c>
      <c r="I45" s="17" t="s">
        <v>107</v>
      </c>
      <c r="J45" s="17" t="s">
        <v>108</v>
      </c>
      <c r="K45" s="17" t="s">
        <v>759</v>
      </c>
      <c r="L45" s="17" t="s">
        <v>760</v>
      </c>
      <c r="M45" s="17" t="s">
        <v>761</v>
      </c>
      <c r="N45" s="17" t="s">
        <v>762</v>
      </c>
      <c r="O45" s="17" t="s">
        <v>763</v>
      </c>
      <c r="P45" s="17" t="s">
        <v>764</v>
      </c>
      <c r="Q45" s="17" t="s">
        <v>765</v>
      </c>
      <c r="R45" s="17" t="s">
        <v>766</v>
      </c>
      <c r="S45" s="17" t="s">
        <v>767</v>
      </c>
      <c r="T45" s="17" t="s">
        <v>768</v>
      </c>
      <c r="U45" s="17" t="s">
        <v>769</v>
      </c>
      <c r="V45" s="19" t="s">
        <v>770</v>
      </c>
      <c r="W45" s="17" t="s">
        <v>771</v>
      </c>
      <c r="X45" s="17" t="s">
        <v>772</v>
      </c>
      <c r="Y45" s="17" t="s">
        <v>123</v>
      </c>
      <c r="Z45" s="17" t="s">
        <v>124</v>
      </c>
      <c r="AA45" s="17"/>
      <c r="AB45" s="17"/>
      <c r="AC45" s="17"/>
      <c r="AD45" s="17" t="s">
        <v>125</v>
      </c>
      <c r="AE45" s="17" t="s">
        <v>773</v>
      </c>
      <c r="AF45" s="17" t="s">
        <v>774</v>
      </c>
      <c r="AG45" s="17" t="s">
        <v>128</v>
      </c>
      <c r="AH45" s="17" t="s">
        <v>129</v>
      </c>
      <c r="AI45" s="17"/>
    </row>
    <row r="46" customFormat="false" ht="219.75" hidden="false" customHeight="true" outlineLevel="0" collapsed="false">
      <c r="A46" s="20" t="n">
        <v>42</v>
      </c>
      <c r="B46" s="21" t="n">
        <v>46385</v>
      </c>
      <c r="C46" s="20" t="s">
        <v>130</v>
      </c>
      <c r="D46" s="20" t="n">
        <v>9</v>
      </c>
      <c r="E46" s="20" t="s">
        <v>464</v>
      </c>
      <c r="F46" s="20" t="s">
        <v>465</v>
      </c>
      <c r="G46" s="20" t="s">
        <v>131</v>
      </c>
      <c r="H46" s="20" t="s">
        <v>132</v>
      </c>
      <c r="I46" s="20" t="s">
        <v>133</v>
      </c>
      <c r="J46" s="20" t="s">
        <v>134</v>
      </c>
      <c r="K46" s="20" t="s">
        <v>775</v>
      </c>
      <c r="L46" s="20" t="s">
        <v>776</v>
      </c>
      <c r="M46" s="20" t="s">
        <v>777</v>
      </c>
      <c r="N46" s="20" t="s">
        <v>778</v>
      </c>
      <c r="O46" s="20" t="s">
        <v>779</v>
      </c>
      <c r="P46" s="20" t="s">
        <v>780</v>
      </c>
      <c r="Q46" s="20" t="s">
        <v>781</v>
      </c>
      <c r="R46" s="20" t="s">
        <v>782</v>
      </c>
      <c r="S46" s="20" t="s">
        <v>783</v>
      </c>
      <c r="T46" s="20" t="s">
        <v>784</v>
      </c>
      <c r="U46" s="20" t="s">
        <v>785</v>
      </c>
      <c r="V46" s="22" t="s">
        <v>786</v>
      </c>
      <c r="W46" s="20" t="s">
        <v>787</v>
      </c>
      <c r="X46" s="20" t="s">
        <v>788</v>
      </c>
      <c r="Y46" s="20" t="s">
        <v>123</v>
      </c>
      <c r="Z46" s="20" t="s">
        <v>149</v>
      </c>
      <c r="AA46" s="20"/>
      <c r="AB46" s="20"/>
      <c r="AC46" s="20"/>
      <c r="AD46" s="20"/>
      <c r="AE46" s="20"/>
      <c r="AF46" s="20"/>
      <c r="AG46" s="20" t="s">
        <v>150</v>
      </c>
      <c r="AH46" s="20" t="s">
        <v>129</v>
      </c>
      <c r="AI46" s="20"/>
    </row>
    <row r="47" customFormat="false" ht="219.75" hidden="false" customHeight="true" outlineLevel="0" collapsed="false">
      <c r="A47" s="23" t="n">
        <v>43</v>
      </c>
      <c r="B47" s="24" t="n">
        <v>46386</v>
      </c>
      <c r="C47" s="23" t="s">
        <v>151</v>
      </c>
      <c r="D47" s="23" t="n">
        <v>9</v>
      </c>
      <c r="E47" s="23" t="s">
        <v>464</v>
      </c>
      <c r="F47" s="23" t="s">
        <v>465</v>
      </c>
      <c r="G47" s="23" t="s">
        <v>152</v>
      </c>
      <c r="H47" s="23" t="s">
        <v>153</v>
      </c>
      <c r="I47" s="23" t="s">
        <v>154</v>
      </c>
      <c r="J47" s="23" t="s">
        <v>155</v>
      </c>
      <c r="K47" s="23" t="s">
        <v>789</v>
      </c>
      <c r="L47" s="23" t="s">
        <v>790</v>
      </c>
      <c r="M47" s="23" t="s">
        <v>791</v>
      </c>
      <c r="N47" s="23" t="s">
        <v>792</v>
      </c>
      <c r="O47" s="23" t="s">
        <v>793</v>
      </c>
      <c r="P47" s="23" t="s">
        <v>794</v>
      </c>
      <c r="Q47" s="23" t="s">
        <v>795</v>
      </c>
      <c r="R47" s="23" t="s">
        <v>796</v>
      </c>
      <c r="S47" s="23" t="s">
        <v>797</v>
      </c>
      <c r="T47" s="23" t="s">
        <v>165</v>
      </c>
      <c r="U47" s="23" t="s">
        <v>798</v>
      </c>
      <c r="V47" s="25" t="s">
        <v>799</v>
      </c>
      <c r="W47" s="23" t="s">
        <v>800</v>
      </c>
      <c r="X47" s="23" t="s">
        <v>801</v>
      </c>
      <c r="Y47" s="23" t="s">
        <v>170</v>
      </c>
      <c r="Z47" s="23" t="s">
        <v>171</v>
      </c>
      <c r="AA47" s="23" t="s">
        <v>802</v>
      </c>
      <c r="AB47" s="23" t="s">
        <v>803</v>
      </c>
      <c r="AC47" s="23" t="s">
        <v>804</v>
      </c>
      <c r="AD47" s="23"/>
      <c r="AE47" s="23"/>
      <c r="AF47" s="23"/>
      <c r="AG47" s="23" t="s">
        <v>175</v>
      </c>
      <c r="AH47" s="23" t="s">
        <v>129</v>
      </c>
      <c r="AI47" s="23"/>
    </row>
    <row r="48" customFormat="false" ht="219.75" hidden="false" customHeight="true" outlineLevel="0" collapsed="false">
      <c r="A48" s="26" t="n">
        <v>44</v>
      </c>
      <c r="B48" s="27" t="n">
        <v>46387</v>
      </c>
      <c r="C48" s="26" t="s">
        <v>176</v>
      </c>
      <c r="D48" s="26" t="n">
        <v>9</v>
      </c>
      <c r="E48" s="26" t="s">
        <v>464</v>
      </c>
      <c r="F48" s="26" t="s">
        <v>465</v>
      </c>
      <c r="G48" s="26" t="s">
        <v>177</v>
      </c>
      <c r="H48" s="26" t="s">
        <v>178</v>
      </c>
      <c r="I48" s="26" t="s">
        <v>179</v>
      </c>
      <c r="J48" s="26" t="s">
        <v>180</v>
      </c>
      <c r="K48" s="26" t="s">
        <v>805</v>
      </c>
      <c r="L48" s="26" t="s">
        <v>806</v>
      </c>
      <c r="M48" s="26" t="s">
        <v>807</v>
      </c>
      <c r="N48" s="26" t="s">
        <v>808</v>
      </c>
      <c r="O48" s="26" t="s">
        <v>809</v>
      </c>
      <c r="P48" s="26" t="s">
        <v>810</v>
      </c>
      <c r="Q48" s="26" t="s">
        <v>811</v>
      </c>
      <c r="R48" s="26" t="s">
        <v>812</v>
      </c>
      <c r="S48" s="26" t="s">
        <v>813</v>
      </c>
      <c r="T48" s="26" t="s">
        <v>814</v>
      </c>
      <c r="U48" s="26" t="s">
        <v>815</v>
      </c>
      <c r="V48" s="28" t="s">
        <v>816</v>
      </c>
      <c r="W48" s="26" t="s">
        <v>817</v>
      </c>
      <c r="X48" s="26" t="s">
        <v>818</v>
      </c>
      <c r="Y48" s="26" t="s">
        <v>195</v>
      </c>
      <c r="Z48" s="26" t="s">
        <v>196</v>
      </c>
      <c r="AA48" s="26" t="s">
        <v>819</v>
      </c>
      <c r="AB48" s="26" t="s">
        <v>820</v>
      </c>
      <c r="AC48" s="26" t="s">
        <v>821</v>
      </c>
      <c r="AD48" s="26"/>
      <c r="AE48" s="26"/>
      <c r="AF48" s="26"/>
      <c r="AG48" s="26" t="s">
        <v>150</v>
      </c>
      <c r="AH48" s="26" t="s">
        <v>129</v>
      </c>
      <c r="AI48" s="26"/>
    </row>
    <row r="49" customFormat="false" ht="219.75" hidden="false" customHeight="true" outlineLevel="0" collapsed="false">
      <c r="A49" s="20" t="n">
        <v>45</v>
      </c>
      <c r="B49" s="21" t="n">
        <v>46388</v>
      </c>
      <c r="C49" s="20" t="s">
        <v>200</v>
      </c>
      <c r="D49" s="20" t="n">
        <v>9</v>
      </c>
      <c r="E49" s="20" t="s">
        <v>822</v>
      </c>
      <c r="F49" s="20" t="s">
        <v>823</v>
      </c>
      <c r="G49" s="20" t="s">
        <v>201</v>
      </c>
      <c r="H49" s="20" t="s">
        <v>132</v>
      </c>
      <c r="I49" s="20" t="s">
        <v>133</v>
      </c>
      <c r="J49" s="20" t="s">
        <v>134</v>
      </c>
      <c r="K49" s="20" t="s">
        <v>824</v>
      </c>
      <c r="L49" s="20" t="s">
        <v>825</v>
      </c>
      <c r="M49" s="20" t="s">
        <v>826</v>
      </c>
      <c r="N49" s="20" t="s">
        <v>827</v>
      </c>
      <c r="O49" s="20" t="s">
        <v>828</v>
      </c>
      <c r="P49" s="20" t="s">
        <v>829</v>
      </c>
      <c r="Q49" s="20" t="s">
        <v>830</v>
      </c>
      <c r="R49" s="20" t="s">
        <v>831</v>
      </c>
      <c r="S49" s="20" t="s">
        <v>832</v>
      </c>
      <c r="T49" s="20" t="s">
        <v>833</v>
      </c>
      <c r="U49" s="20" t="s">
        <v>834</v>
      </c>
      <c r="V49" s="22" t="s">
        <v>835</v>
      </c>
      <c r="W49" s="20" t="s">
        <v>836</v>
      </c>
      <c r="X49" s="20" t="s">
        <v>837</v>
      </c>
      <c r="Y49" s="20" t="s">
        <v>123</v>
      </c>
      <c r="Z49" s="20" t="s">
        <v>149</v>
      </c>
      <c r="AA49" s="20"/>
      <c r="AB49" s="20"/>
      <c r="AC49" s="20"/>
      <c r="AD49" s="20"/>
      <c r="AE49" s="20"/>
      <c r="AF49" s="20"/>
      <c r="AG49" s="20" t="s">
        <v>216</v>
      </c>
      <c r="AH49" s="20" t="s">
        <v>129</v>
      </c>
      <c r="AI49" s="20"/>
    </row>
    <row r="50" customFormat="false" ht="219.75" hidden="false" customHeight="true" outlineLevel="0" collapsed="false">
      <c r="A50" s="17" t="n">
        <v>46</v>
      </c>
      <c r="B50" s="18" t="n">
        <v>46391</v>
      </c>
      <c r="C50" s="17" t="s">
        <v>102</v>
      </c>
      <c r="D50" s="17" t="n">
        <v>10</v>
      </c>
      <c r="E50" s="17" t="s">
        <v>822</v>
      </c>
      <c r="F50" s="17" t="s">
        <v>823</v>
      </c>
      <c r="G50" s="17" t="s">
        <v>105</v>
      </c>
      <c r="H50" s="17" t="s">
        <v>106</v>
      </c>
      <c r="I50" s="17" t="s">
        <v>107</v>
      </c>
      <c r="J50" s="17" t="s">
        <v>108</v>
      </c>
      <c r="K50" s="17" t="s">
        <v>838</v>
      </c>
      <c r="L50" s="17" t="s">
        <v>839</v>
      </c>
      <c r="M50" s="17" t="s">
        <v>840</v>
      </c>
      <c r="N50" s="17" t="s">
        <v>841</v>
      </c>
      <c r="O50" s="17" t="s">
        <v>842</v>
      </c>
      <c r="P50" s="17" t="s">
        <v>843</v>
      </c>
      <c r="Q50" s="17" t="s">
        <v>844</v>
      </c>
      <c r="R50" s="17" t="s">
        <v>845</v>
      </c>
      <c r="S50" s="17" t="s">
        <v>846</v>
      </c>
      <c r="T50" s="17" t="s">
        <v>847</v>
      </c>
      <c r="U50" s="17" t="s">
        <v>848</v>
      </c>
      <c r="V50" s="19" t="s">
        <v>849</v>
      </c>
      <c r="W50" s="17" t="s">
        <v>850</v>
      </c>
      <c r="X50" s="17" t="s">
        <v>851</v>
      </c>
      <c r="Y50" s="17" t="s">
        <v>123</v>
      </c>
      <c r="Z50" s="17" t="s">
        <v>124</v>
      </c>
      <c r="AA50" s="17"/>
      <c r="AB50" s="17"/>
      <c r="AC50" s="17"/>
      <c r="AD50" s="17" t="s">
        <v>231</v>
      </c>
      <c r="AE50" s="17" t="s">
        <v>852</v>
      </c>
      <c r="AF50" s="17" t="s">
        <v>853</v>
      </c>
      <c r="AG50" s="17" t="s">
        <v>128</v>
      </c>
      <c r="AH50" s="17" t="s">
        <v>129</v>
      </c>
      <c r="AI50" s="17"/>
    </row>
    <row r="51" customFormat="false" ht="219.75" hidden="false" customHeight="true" outlineLevel="0" collapsed="false">
      <c r="A51" s="20" t="n">
        <v>47</v>
      </c>
      <c r="B51" s="21" t="n">
        <v>46392</v>
      </c>
      <c r="C51" s="20" t="s">
        <v>130</v>
      </c>
      <c r="D51" s="20" t="n">
        <v>10</v>
      </c>
      <c r="E51" s="20" t="s">
        <v>822</v>
      </c>
      <c r="F51" s="20" t="s">
        <v>823</v>
      </c>
      <c r="G51" s="20" t="s">
        <v>131</v>
      </c>
      <c r="H51" s="20" t="s">
        <v>132</v>
      </c>
      <c r="I51" s="20" t="s">
        <v>133</v>
      </c>
      <c r="J51" s="20" t="s">
        <v>134</v>
      </c>
      <c r="K51" s="20" t="s">
        <v>854</v>
      </c>
      <c r="L51" s="20" t="s">
        <v>855</v>
      </c>
      <c r="M51" s="20" t="s">
        <v>856</v>
      </c>
      <c r="N51" s="20" t="s">
        <v>857</v>
      </c>
      <c r="O51" s="20" t="s">
        <v>858</v>
      </c>
      <c r="P51" s="20" t="s">
        <v>859</v>
      </c>
      <c r="Q51" s="20" t="s">
        <v>860</v>
      </c>
      <c r="R51" s="20" t="s">
        <v>861</v>
      </c>
      <c r="S51" s="20" t="s">
        <v>862</v>
      </c>
      <c r="T51" s="20" t="s">
        <v>863</v>
      </c>
      <c r="U51" s="20" t="s">
        <v>864</v>
      </c>
      <c r="V51" s="22" t="s">
        <v>865</v>
      </c>
      <c r="W51" s="20" t="s">
        <v>866</v>
      </c>
      <c r="X51" s="20" t="s">
        <v>867</v>
      </c>
      <c r="Y51" s="20" t="s">
        <v>123</v>
      </c>
      <c r="Z51" s="20" t="s">
        <v>149</v>
      </c>
      <c r="AA51" s="20"/>
      <c r="AB51" s="20"/>
      <c r="AC51" s="20"/>
      <c r="AD51" s="20"/>
      <c r="AE51" s="20"/>
      <c r="AF51" s="20"/>
      <c r="AG51" s="20" t="s">
        <v>150</v>
      </c>
      <c r="AH51" s="20" t="s">
        <v>129</v>
      </c>
      <c r="AI51" s="20"/>
    </row>
    <row r="52" customFormat="false" ht="219.75" hidden="false" customHeight="true" outlineLevel="0" collapsed="false">
      <c r="A52" s="23" t="n">
        <v>48</v>
      </c>
      <c r="B52" s="24" t="n">
        <v>46393</v>
      </c>
      <c r="C52" s="23" t="s">
        <v>151</v>
      </c>
      <c r="D52" s="23" t="n">
        <v>10</v>
      </c>
      <c r="E52" s="23" t="s">
        <v>822</v>
      </c>
      <c r="F52" s="23" t="s">
        <v>823</v>
      </c>
      <c r="G52" s="23" t="s">
        <v>152</v>
      </c>
      <c r="H52" s="23" t="s">
        <v>153</v>
      </c>
      <c r="I52" s="23" t="s">
        <v>154</v>
      </c>
      <c r="J52" s="23" t="s">
        <v>155</v>
      </c>
      <c r="K52" s="23" t="s">
        <v>868</v>
      </c>
      <c r="L52" s="23" t="s">
        <v>869</v>
      </c>
      <c r="M52" s="23" t="s">
        <v>870</v>
      </c>
      <c r="N52" s="23" t="s">
        <v>871</v>
      </c>
      <c r="O52" s="23" t="s">
        <v>872</v>
      </c>
      <c r="P52" s="23" t="s">
        <v>873</v>
      </c>
      <c r="Q52" s="23" t="s">
        <v>874</v>
      </c>
      <c r="R52" s="23" t="s">
        <v>875</v>
      </c>
      <c r="S52" s="23" t="s">
        <v>876</v>
      </c>
      <c r="T52" s="23" t="s">
        <v>165</v>
      </c>
      <c r="U52" s="23" t="s">
        <v>877</v>
      </c>
      <c r="V52" s="25" t="s">
        <v>878</v>
      </c>
      <c r="W52" s="23" t="s">
        <v>879</v>
      </c>
      <c r="X52" s="23" t="s">
        <v>880</v>
      </c>
      <c r="Y52" s="23" t="s">
        <v>170</v>
      </c>
      <c r="Z52" s="23" t="s">
        <v>171</v>
      </c>
      <c r="AA52" s="23" t="s">
        <v>881</v>
      </c>
      <c r="AB52" s="23" t="s">
        <v>882</v>
      </c>
      <c r="AC52" s="23" t="s">
        <v>883</v>
      </c>
      <c r="AD52" s="23"/>
      <c r="AE52" s="23"/>
      <c r="AF52" s="23"/>
      <c r="AG52" s="23" t="s">
        <v>175</v>
      </c>
      <c r="AH52" s="23" t="s">
        <v>129</v>
      </c>
      <c r="AI52" s="23"/>
    </row>
    <row r="53" customFormat="false" ht="219.75" hidden="false" customHeight="true" outlineLevel="0" collapsed="false">
      <c r="A53" s="26" t="n">
        <v>49</v>
      </c>
      <c r="B53" s="27" t="n">
        <v>46394</v>
      </c>
      <c r="C53" s="26" t="s">
        <v>176</v>
      </c>
      <c r="D53" s="26" t="n">
        <v>10</v>
      </c>
      <c r="E53" s="26" t="s">
        <v>822</v>
      </c>
      <c r="F53" s="26" t="s">
        <v>823</v>
      </c>
      <c r="G53" s="26" t="s">
        <v>177</v>
      </c>
      <c r="H53" s="26" t="s">
        <v>178</v>
      </c>
      <c r="I53" s="26" t="s">
        <v>179</v>
      </c>
      <c r="J53" s="26" t="s">
        <v>180</v>
      </c>
      <c r="K53" s="26" t="s">
        <v>884</v>
      </c>
      <c r="L53" s="26" t="s">
        <v>885</v>
      </c>
      <c r="M53" s="26" t="s">
        <v>886</v>
      </c>
      <c r="N53" s="26" t="s">
        <v>887</v>
      </c>
      <c r="O53" s="26" t="s">
        <v>888</v>
      </c>
      <c r="P53" s="26" t="s">
        <v>889</v>
      </c>
      <c r="Q53" s="26" t="s">
        <v>890</v>
      </c>
      <c r="R53" s="26" t="s">
        <v>891</v>
      </c>
      <c r="S53" s="26" t="s">
        <v>892</v>
      </c>
      <c r="T53" s="26" t="s">
        <v>893</v>
      </c>
      <c r="U53" s="26" t="s">
        <v>894</v>
      </c>
      <c r="V53" s="28" t="s">
        <v>895</v>
      </c>
      <c r="W53" s="26" t="s">
        <v>896</v>
      </c>
      <c r="X53" s="26" t="s">
        <v>897</v>
      </c>
      <c r="Y53" s="26" t="s">
        <v>195</v>
      </c>
      <c r="Z53" s="26" t="s">
        <v>196</v>
      </c>
      <c r="AA53" s="26" t="s">
        <v>898</v>
      </c>
      <c r="AB53" s="26" t="s">
        <v>899</v>
      </c>
      <c r="AC53" s="26" t="s">
        <v>900</v>
      </c>
      <c r="AD53" s="26"/>
      <c r="AE53" s="26"/>
      <c r="AF53" s="26"/>
      <c r="AG53" s="26" t="s">
        <v>150</v>
      </c>
      <c r="AH53" s="26" t="s">
        <v>129</v>
      </c>
      <c r="AI53" s="26"/>
    </row>
    <row r="54" customFormat="false" ht="219.75" hidden="false" customHeight="true" outlineLevel="0" collapsed="false">
      <c r="A54" s="20" t="n">
        <v>50</v>
      </c>
      <c r="B54" s="21" t="n">
        <v>46395</v>
      </c>
      <c r="C54" s="20" t="s">
        <v>200</v>
      </c>
      <c r="D54" s="20" t="n">
        <v>10</v>
      </c>
      <c r="E54" s="20" t="s">
        <v>822</v>
      </c>
      <c r="F54" s="20" t="s">
        <v>823</v>
      </c>
      <c r="G54" s="20" t="s">
        <v>201</v>
      </c>
      <c r="H54" s="20" t="s">
        <v>132</v>
      </c>
      <c r="I54" s="20" t="s">
        <v>133</v>
      </c>
      <c r="J54" s="20" t="s">
        <v>134</v>
      </c>
      <c r="K54" s="20" t="s">
        <v>901</v>
      </c>
      <c r="L54" s="20" t="s">
        <v>902</v>
      </c>
      <c r="M54" s="20" t="s">
        <v>903</v>
      </c>
      <c r="N54" s="20" t="s">
        <v>904</v>
      </c>
      <c r="O54" s="20" t="s">
        <v>905</v>
      </c>
      <c r="P54" s="20" t="s">
        <v>906</v>
      </c>
      <c r="Q54" s="20" t="s">
        <v>907</v>
      </c>
      <c r="R54" s="20" t="s">
        <v>908</v>
      </c>
      <c r="S54" s="20" t="s">
        <v>909</v>
      </c>
      <c r="T54" s="20" t="s">
        <v>910</v>
      </c>
      <c r="U54" s="20" t="s">
        <v>911</v>
      </c>
      <c r="V54" s="22" t="s">
        <v>912</v>
      </c>
      <c r="W54" s="20" t="s">
        <v>913</v>
      </c>
      <c r="X54" s="20" t="s">
        <v>914</v>
      </c>
      <c r="Y54" s="20" t="s">
        <v>123</v>
      </c>
      <c r="Z54" s="20" t="s">
        <v>149</v>
      </c>
      <c r="AA54" s="20"/>
      <c r="AB54" s="20"/>
      <c r="AC54" s="20"/>
      <c r="AD54" s="20"/>
      <c r="AE54" s="20"/>
      <c r="AF54" s="20"/>
      <c r="AG54" s="20" t="s">
        <v>216</v>
      </c>
      <c r="AH54" s="20" t="s">
        <v>129</v>
      </c>
      <c r="AI54" s="20"/>
    </row>
    <row r="55" customFormat="false" ht="219.75" hidden="false" customHeight="true" outlineLevel="0" collapsed="false">
      <c r="A55" s="17" t="n">
        <v>51</v>
      </c>
      <c r="B55" s="18" t="n">
        <v>46398</v>
      </c>
      <c r="C55" s="17" t="s">
        <v>102</v>
      </c>
      <c r="D55" s="17" t="n">
        <v>11</v>
      </c>
      <c r="E55" s="17" t="s">
        <v>822</v>
      </c>
      <c r="F55" s="17" t="s">
        <v>823</v>
      </c>
      <c r="G55" s="17" t="s">
        <v>105</v>
      </c>
      <c r="H55" s="17" t="s">
        <v>106</v>
      </c>
      <c r="I55" s="17" t="s">
        <v>107</v>
      </c>
      <c r="J55" s="17" t="s">
        <v>108</v>
      </c>
      <c r="K55" s="17" t="s">
        <v>915</v>
      </c>
      <c r="L55" s="17" t="s">
        <v>916</v>
      </c>
      <c r="M55" s="17" t="s">
        <v>917</v>
      </c>
      <c r="N55" s="17" t="s">
        <v>918</v>
      </c>
      <c r="O55" s="17" t="s">
        <v>919</v>
      </c>
      <c r="P55" s="17" t="s">
        <v>920</v>
      </c>
      <c r="Q55" s="17" t="s">
        <v>921</v>
      </c>
      <c r="R55" s="17" t="s">
        <v>922</v>
      </c>
      <c r="S55" s="17" t="s">
        <v>923</v>
      </c>
      <c r="T55" s="17" t="s">
        <v>924</v>
      </c>
      <c r="U55" s="17" t="s">
        <v>925</v>
      </c>
      <c r="V55" s="19" t="s">
        <v>926</v>
      </c>
      <c r="W55" s="17" t="s">
        <v>927</v>
      </c>
      <c r="X55" s="17" t="s">
        <v>928</v>
      </c>
      <c r="Y55" s="17" t="s">
        <v>123</v>
      </c>
      <c r="Z55" s="17" t="s">
        <v>124</v>
      </c>
      <c r="AA55" s="17"/>
      <c r="AB55" s="17"/>
      <c r="AC55" s="17"/>
      <c r="AD55" s="17" t="s">
        <v>541</v>
      </c>
      <c r="AE55" s="17" t="s">
        <v>929</v>
      </c>
      <c r="AF55" s="17" t="s">
        <v>930</v>
      </c>
      <c r="AG55" s="17" t="s">
        <v>128</v>
      </c>
      <c r="AH55" s="17" t="s">
        <v>129</v>
      </c>
      <c r="AI55" s="17"/>
    </row>
    <row r="56" customFormat="false" ht="219.75" hidden="false" customHeight="true" outlineLevel="0" collapsed="false">
      <c r="A56" s="20" t="n">
        <v>52</v>
      </c>
      <c r="B56" s="21" t="n">
        <v>46399</v>
      </c>
      <c r="C56" s="20" t="s">
        <v>130</v>
      </c>
      <c r="D56" s="20" t="n">
        <v>11</v>
      </c>
      <c r="E56" s="20" t="s">
        <v>822</v>
      </c>
      <c r="F56" s="20" t="s">
        <v>823</v>
      </c>
      <c r="G56" s="20" t="s">
        <v>131</v>
      </c>
      <c r="H56" s="20" t="s">
        <v>132</v>
      </c>
      <c r="I56" s="20" t="s">
        <v>133</v>
      </c>
      <c r="J56" s="20" t="s">
        <v>134</v>
      </c>
      <c r="K56" s="20" t="s">
        <v>931</v>
      </c>
      <c r="L56" s="20" t="s">
        <v>932</v>
      </c>
      <c r="M56" s="20" t="s">
        <v>933</v>
      </c>
      <c r="N56" s="20" t="s">
        <v>934</v>
      </c>
      <c r="O56" s="20" t="s">
        <v>935</v>
      </c>
      <c r="P56" s="20" t="s">
        <v>936</v>
      </c>
      <c r="Q56" s="20" t="s">
        <v>937</v>
      </c>
      <c r="R56" s="20" t="s">
        <v>938</v>
      </c>
      <c r="S56" s="20" t="s">
        <v>939</v>
      </c>
      <c r="T56" s="20" t="s">
        <v>940</v>
      </c>
      <c r="U56" s="20" t="s">
        <v>941</v>
      </c>
      <c r="V56" s="22" t="s">
        <v>942</v>
      </c>
      <c r="W56" s="20" t="s">
        <v>943</v>
      </c>
      <c r="X56" s="20" t="s">
        <v>944</v>
      </c>
      <c r="Y56" s="20" t="s">
        <v>123</v>
      </c>
      <c r="Z56" s="20" t="s">
        <v>149</v>
      </c>
      <c r="AA56" s="20"/>
      <c r="AB56" s="20"/>
      <c r="AC56" s="20"/>
      <c r="AD56" s="20"/>
      <c r="AE56" s="20"/>
      <c r="AF56" s="20"/>
      <c r="AG56" s="20" t="s">
        <v>150</v>
      </c>
      <c r="AH56" s="20" t="s">
        <v>129</v>
      </c>
      <c r="AI56" s="20"/>
    </row>
    <row r="57" customFormat="false" ht="219.75" hidden="false" customHeight="true" outlineLevel="0" collapsed="false">
      <c r="A57" s="23" t="n">
        <v>53</v>
      </c>
      <c r="B57" s="24" t="n">
        <v>46400</v>
      </c>
      <c r="C57" s="23" t="s">
        <v>151</v>
      </c>
      <c r="D57" s="23" t="n">
        <v>11</v>
      </c>
      <c r="E57" s="23" t="s">
        <v>822</v>
      </c>
      <c r="F57" s="23" t="s">
        <v>823</v>
      </c>
      <c r="G57" s="23" t="s">
        <v>152</v>
      </c>
      <c r="H57" s="23" t="s">
        <v>153</v>
      </c>
      <c r="I57" s="23" t="s">
        <v>154</v>
      </c>
      <c r="J57" s="23" t="s">
        <v>155</v>
      </c>
      <c r="K57" s="23" t="s">
        <v>945</v>
      </c>
      <c r="L57" s="23" t="s">
        <v>946</v>
      </c>
      <c r="M57" s="23" t="s">
        <v>947</v>
      </c>
      <c r="N57" s="23" t="s">
        <v>948</v>
      </c>
      <c r="O57" s="23" t="s">
        <v>949</v>
      </c>
      <c r="P57" s="23" t="s">
        <v>950</v>
      </c>
      <c r="Q57" s="23" t="s">
        <v>951</v>
      </c>
      <c r="R57" s="23" t="s">
        <v>952</v>
      </c>
      <c r="S57" s="23" t="s">
        <v>953</v>
      </c>
      <c r="T57" s="23" t="s">
        <v>165</v>
      </c>
      <c r="U57" s="23" t="s">
        <v>954</v>
      </c>
      <c r="V57" s="25" t="s">
        <v>955</v>
      </c>
      <c r="W57" s="23" t="s">
        <v>956</v>
      </c>
      <c r="X57" s="23" t="s">
        <v>957</v>
      </c>
      <c r="Y57" s="23" t="s">
        <v>170</v>
      </c>
      <c r="Z57" s="23" t="s">
        <v>171</v>
      </c>
      <c r="AA57" s="23" t="s">
        <v>958</v>
      </c>
      <c r="AB57" s="23" t="s">
        <v>959</v>
      </c>
      <c r="AC57" s="23" t="s">
        <v>960</v>
      </c>
      <c r="AD57" s="23"/>
      <c r="AE57" s="23"/>
      <c r="AF57" s="23"/>
      <c r="AG57" s="23" t="s">
        <v>175</v>
      </c>
      <c r="AH57" s="23" t="s">
        <v>129</v>
      </c>
      <c r="AI57" s="23"/>
    </row>
    <row r="58" customFormat="false" ht="219.75" hidden="false" customHeight="true" outlineLevel="0" collapsed="false">
      <c r="A58" s="26" t="n">
        <v>54</v>
      </c>
      <c r="B58" s="27" t="n">
        <v>46401</v>
      </c>
      <c r="C58" s="26" t="s">
        <v>176</v>
      </c>
      <c r="D58" s="26" t="n">
        <v>11</v>
      </c>
      <c r="E58" s="26" t="s">
        <v>822</v>
      </c>
      <c r="F58" s="26" t="s">
        <v>823</v>
      </c>
      <c r="G58" s="26" t="s">
        <v>177</v>
      </c>
      <c r="H58" s="26" t="s">
        <v>178</v>
      </c>
      <c r="I58" s="26" t="s">
        <v>179</v>
      </c>
      <c r="J58" s="26" t="s">
        <v>180</v>
      </c>
      <c r="K58" s="26" t="s">
        <v>961</v>
      </c>
      <c r="L58" s="26" t="s">
        <v>962</v>
      </c>
      <c r="M58" s="26" t="s">
        <v>963</v>
      </c>
      <c r="N58" s="26" t="s">
        <v>964</v>
      </c>
      <c r="O58" s="26" t="s">
        <v>965</v>
      </c>
      <c r="P58" s="26" t="s">
        <v>966</v>
      </c>
      <c r="Q58" s="26" t="s">
        <v>967</v>
      </c>
      <c r="R58" s="26" t="s">
        <v>968</v>
      </c>
      <c r="S58" s="26" t="s">
        <v>969</v>
      </c>
      <c r="T58" s="26" t="s">
        <v>970</v>
      </c>
      <c r="U58" s="26" t="s">
        <v>971</v>
      </c>
      <c r="V58" s="28" t="s">
        <v>972</v>
      </c>
      <c r="W58" s="26" t="s">
        <v>973</v>
      </c>
      <c r="X58" s="26" t="s">
        <v>974</v>
      </c>
      <c r="Y58" s="26" t="s">
        <v>195</v>
      </c>
      <c r="Z58" s="26" t="s">
        <v>196</v>
      </c>
      <c r="AA58" s="26" t="s">
        <v>975</v>
      </c>
      <c r="AB58" s="26" t="s">
        <v>976</v>
      </c>
      <c r="AC58" s="26" t="s">
        <v>977</v>
      </c>
      <c r="AD58" s="26"/>
      <c r="AE58" s="26"/>
      <c r="AF58" s="26"/>
      <c r="AG58" s="26" t="s">
        <v>150</v>
      </c>
      <c r="AH58" s="26" t="s">
        <v>129</v>
      </c>
      <c r="AI58" s="26"/>
    </row>
    <row r="59" customFormat="false" ht="219.75" hidden="false" customHeight="true" outlineLevel="0" collapsed="false">
      <c r="A59" s="20" t="n">
        <v>55</v>
      </c>
      <c r="B59" s="21" t="n">
        <v>46402</v>
      </c>
      <c r="C59" s="20" t="s">
        <v>200</v>
      </c>
      <c r="D59" s="20" t="n">
        <v>11</v>
      </c>
      <c r="E59" s="20" t="s">
        <v>822</v>
      </c>
      <c r="F59" s="20" t="s">
        <v>823</v>
      </c>
      <c r="G59" s="20" t="s">
        <v>201</v>
      </c>
      <c r="H59" s="20" t="s">
        <v>132</v>
      </c>
      <c r="I59" s="20" t="s">
        <v>133</v>
      </c>
      <c r="J59" s="20" t="s">
        <v>134</v>
      </c>
      <c r="K59" s="20" t="s">
        <v>978</v>
      </c>
      <c r="L59" s="20" t="s">
        <v>979</v>
      </c>
      <c r="M59" s="20" t="s">
        <v>980</v>
      </c>
      <c r="N59" s="20" t="s">
        <v>981</v>
      </c>
      <c r="O59" s="20" t="s">
        <v>982</v>
      </c>
      <c r="P59" s="20" t="s">
        <v>983</v>
      </c>
      <c r="Q59" s="20" t="s">
        <v>984</v>
      </c>
      <c r="R59" s="20" t="s">
        <v>908</v>
      </c>
      <c r="S59" s="20" t="s">
        <v>985</v>
      </c>
      <c r="T59" s="20" t="s">
        <v>986</v>
      </c>
      <c r="U59" s="20" t="s">
        <v>987</v>
      </c>
      <c r="V59" s="22" t="s">
        <v>988</v>
      </c>
      <c r="W59" s="20" t="s">
        <v>989</v>
      </c>
      <c r="X59" s="20" t="s">
        <v>990</v>
      </c>
      <c r="Y59" s="20" t="s">
        <v>123</v>
      </c>
      <c r="Z59" s="20" t="s">
        <v>149</v>
      </c>
      <c r="AA59" s="20"/>
      <c r="AB59" s="20"/>
      <c r="AC59" s="20"/>
      <c r="AD59" s="20"/>
      <c r="AE59" s="20"/>
      <c r="AF59" s="20"/>
      <c r="AG59" s="20" t="s">
        <v>216</v>
      </c>
      <c r="AH59" s="20" t="s">
        <v>129</v>
      </c>
      <c r="AI59" s="20"/>
    </row>
    <row r="60" customFormat="false" ht="219.75" hidden="false" customHeight="true" outlineLevel="0" collapsed="false">
      <c r="A60" s="17" t="n">
        <v>56</v>
      </c>
      <c r="B60" s="18" t="n">
        <v>46405</v>
      </c>
      <c r="C60" s="17" t="s">
        <v>102</v>
      </c>
      <c r="D60" s="17" t="n">
        <v>12</v>
      </c>
      <c r="E60" s="17" t="s">
        <v>822</v>
      </c>
      <c r="F60" s="17" t="s">
        <v>823</v>
      </c>
      <c r="G60" s="17" t="s">
        <v>105</v>
      </c>
      <c r="H60" s="17" t="s">
        <v>106</v>
      </c>
      <c r="I60" s="17" t="s">
        <v>107</v>
      </c>
      <c r="J60" s="17" t="s">
        <v>108</v>
      </c>
      <c r="K60" s="17" t="s">
        <v>991</v>
      </c>
      <c r="L60" s="17" t="s">
        <v>992</v>
      </c>
      <c r="M60" s="17" t="s">
        <v>993</v>
      </c>
      <c r="N60" s="17" t="s">
        <v>994</v>
      </c>
      <c r="O60" s="17" t="s">
        <v>995</v>
      </c>
      <c r="P60" s="17" t="s">
        <v>996</v>
      </c>
      <c r="Q60" s="17" t="s">
        <v>997</v>
      </c>
      <c r="R60" s="17" t="s">
        <v>998</v>
      </c>
      <c r="S60" s="17" t="s">
        <v>999</v>
      </c>
      <c r="T60" s="17" t="s">
        <v>1000</v>
      </c>
      <c r="U60" s="17" t="s">
        <v>1001</v>
      </c>
      <c r="V60" s="19" t="s">
        <v>1002</v>
      </c>
      <c r="W60" s="17" t="s">
        <v>1003</v>
      </c>
      <c r="X60" s="17" t="s">
        <v>1004</v>
      </c>
      <c r="Y60" s="17" t="s">
        <v>123</v>
      </c>
      <c r="Z60" s="17" t="s">
        <v>124</v>
      </c>
      <c r="AA60" s="17"/>
      <c r="AB60" s="17"/>
      <c r="AC60" s="17"/>
      <c r="AD60" s="17" t="s">
        <v>125</v>
      </c>
      <c r="AE60" s="17" t="s">
        <v>1005</v>
      </c>
      <c r="AF60" s="17" t="s">
        <v>1006</v>
      </c>
      <c r="AG60" s="17" t="s">
        <v>128</v>
      </c>
      <c r="AH60" s="17" t="s">
        <v>129</v>
      </c>
      <c r="AI60" s="17"/>
    </row>
    <row r="61" customFormat="false" ht="219.75" hidden="false" customHeight="true" outlineLevel="0" collapsed="false">
      <c r="A61" s="20" t="n">
        <v>57</v>
      </c>
      <c r="B61" s="21" t="n">
        <v>46406</v>
      </c>
      <c r="C61" s="20" t="s">
        <v>130</v>
      </c>
      <c r="D61" s="20" t="n">
        <v>12</v>
      </c>
      <c r="E61" s="20" t="s">
        <v>822</v>
      </c>
      <c r="F61" s="20" t="s">
        <v>823</v>
      </c>
      <c r="G61" s="20" t="s">
        <v>131</v>
      </c>
      <c r="H61" s="20" t="s">
        <v>132</v>
      </c>
      <c r="I61" s="20" t="s">
        <v>133</v>
      </c>
      <c r="J61" s="20" t="s">
        <v>134</v>
      </c>
      <c r="K61" s="20" t="s">
        <v>1007</v>
      </c>
      <c r="L61" s="20" t="s">
        <v>1008</v>
      </c>
      <c r="M61" s="20" t="s">
        <v>1009</v>
      </c>
      <c r="N61" s="20" t="s">
        <v>1010</v>
      </c>
      <c r="O61" s="20" t="s">
        <v>1011</v>
      </c>
      <c r="P61" s="20" t="s">
        <v>1012</v>
      </c>
      <c r="Q61" s="20" t="s">
        <v>1013</v>
      </c>
      <c r="R61" s="20" t="s">
        <v>1014</v>
      </c>
      <c r="S61" s="20" t="s">
        <v>1015</v>
      </c>
      <c r="T61" s="20" t="s">
        <v>1016</v>
      </c>
      <c r="U61" s="20" t="s">
        <v>1017</v>
      </c>
      <c r="V61" s="22" t="s">
        <v>1018</v>
      </c>
      <c r="W61" s="20" t="s">
        <v>1019</v>
      </c>
      <c r="X61" s="20" t="s">
        <v>1020</v>
      </c>
      <c r="Y61" s="20" t="s">
        <v>123</v>
      </c>
      <c r="Z61" s="20" t="s">
        <v>149</v>
      </c>
      <c r="AA61" s="20"/>
      <c r="AB61" s="20"/>
      <c r="AC61" s="20"/>
      <c r="AD61" s="20"/>
      <c r="AE61" s="20"/>
      <c r="AF61" s="20"/>
      <c r="AG61" s="20" t="s">
        <v>150</v>
      </c>
      <c r="AH61" s="20" t="s">
        <v>129</v>
      </c>
      <c r="AI61" s="20"/>
    </row>
    <row r="62" customFormat="false" ht="219.75" hidden="false" customHeight="true" outlineLevel="0" collapsed="false">
      <c r="A62" s="23" t="n">
        <v>58</v>
      </c>
      <c r="B62" s="24" t="n">
        <v>46407</v>
      </c>
      <c r="C62" s="23" t="s">
        <v>151</v>
      </c>
      <c r="D62" s="23" t="n">
        <v>12</v>
      </c>
      <c r="E62" s="23" t="s">
        <v>822</v>
      </c>
      <c r="F62" s="23" t="s">
        <v>823</v>
      </c>
      <c r="G62" s="23" t="s">
        <v>152</v>
      </c>
      <c r="H62" s="23" t="s">
        <v>153</v>
      </c>
      <c r="I62" s="23" t="s">
        <v>154</v>
      </c>
      <c r="J62" s="23" t="s">
        <v>155</v>
      </c>
      <c r="K62" s="23" t="s">
        <v>1021</v>
      </c>
      <c r="L62" s="23" t="s">
        <v>1022</v>
      </c>
      <c r="M62" s="23" t="s">
        <v>1023</v>
      </c>
      <c r="N62" s="23" t="s">
        <v>1024</v>
      </c>
      <c r="O62" s="23" t="s">
        <v>1025</v>
      </c>
      <c r="P62" s="23" t="s">
        <v>1026</v>
      </c>
      <c r="Q62" s="23" t="s">
        <v>1027</v>
      </c>
      <c r="R62" s="23" t="s">
        <v>1028</v>
      </c>
      <c r="S62" s="23" t="s">
        <v>1029</v>
      </c>
      <c r="T62" s="23" t="s">
        <v>165</v>
      </c>
      <c r="U62" s="23" t="s">
        <v>1030</v>
      </c>
      <c r="V62" s="25" t="s">
        <v>1031</v>
      </c>
      <c r="W62" s="23" t="s">
        <v>1032</v>
      </c>
      <c r="X62" s="23" t="s">
        <v>1033</v>
      </c>
      <c r="Y62" s="23" t="s">
        <v>170</v>
      </c>
      <c r="Z62" s="23" t="s">
        <v>171</v>
      </c>
      <c r="AA62" s="23" t="s">
        <v>1034</v>
      </c>
      <c r="AB62" s="23" t="s">
        <v>1035</v>
      </c>
      <c r="AC62" s="23" t="s">
        <v>1036</v>
      </c>
      <c r="AD62" s="23"/>
      <c r="AE62" s="23"/>
      <c r="AF62" s="23"/>
      <c r="AG62" s="23" t="s">
        <v>175</v>
      </c>
      <c r="AH62" s="23" t="s">
        <v>129</v>
      </c>
      <c r="AI62" s="23"/>
    </row>
    <row r="63" customFormat="false" ht="219.75" hidden="false" customHeight="true" outlineLevel="0" collapsed="false">
      <c r="A63" s="26" t="n">
        <v>59</v>
      </c>
      <c r="B63" s="27" t="n">
        <v>46408</v>
      </c>
      <c r="C63" s="26" t="s">
        <v>176</v>
      </c>
      <c r="D63" s="26" t="n">
        <v>12</v>
      </c>
      <c r="E63" s="26" t="s">
        <v>822</v>
      </c>
      <c r="F63" s="26" t="s">
        <v>823</v>
      </c>
      <c r="G63" s="26" t="s">
        <v>177</v>
      </c>
      <c r="H63" s="26" t="s">
        <v>178</v>
      </c>
      <c r="I63" s="26" t="s">
        <v>179</v>
      </c>
      <c r="J63" s="26" t="s">
        <v>180</v>
      </c>
      <c r="K63" s="26" t="s">
        <v>1037</v>
      </c>
      <c r="L63" s="26" t="s">
        <v>1038</v>
      </c>
      <c r="M63" s="26" t="s">
        <v>1039</v>
      </c>
      <c r="N63" s="26" t="s">
        <v>1040</v>
      </c>
      <c r="O63" s="26" t="s">
        <v>1041</v>
      </c>
      <c r="P63" s="26" t="s">
        <v>1042</v>
      </c>
      <c r="Q63" s="26" t="s">
        <v>1043</v>
      </c>
      <c r="R63" s="26" t="s">
        <v>1044</v>
      </c>
      <c r="S63" s="26" t="s">
        <v>1045</v>
      </c>
      <c r="T63" s="26" t="s">
        <v>1046</v>
      </c>
      <c r="U63" s="26" t="s">
        <v>1047</v>
      </c>
      <c r="V63" s="28" t="s">
        <v>1048</v>
      </c>
      <c r="W63" s="26" t="s">
        <v>1049</v>
      </c>
      <c r="X63" s="26" t="s">
        <v>1050</v>
      </c>
      <c r="Y63" s="26" t="s">
        <v>195</v>
      </c>
      <c r="Z63" s="26" t="s">
        <v>196</v>
      </c>
      <c r="AA63" s="26" t="s">
        <v>1051</v>
      </c>
      <c r="AB63" s="26" t="s">
        <v>1052</v>
      </c>
      <c r="AC63" s="26" t="s">
        <v>1053</v>
      </c>
      <c r="AD63" s="26"/>
      <c r="AE63" s="26"/>
      <c r="AF63" s="26"/>
      <c r="AG63" s="26" t="s">
        <v>150</v>
      </c>
      <c r="AH63" s="26" t="s">
        <v>129</v>
      </c>
      <c r="AI63" s="26"/>
    </row>
    <row r="64" customFormat="false" ht="219.75" hidden="false" customHeight="true" outlineLevel="0" collapsed="false">
      <c r="A64" s="20" t="n">
        <v>60</v>
      </c>
      <c r="B64" s="21" t="n">
        <v>46409</v>
      </c>
      <c r="C64" s="20" t="s">
        <v>200</v>
      </c>
      <c r="D64" s="20" t="n">
        <v>12</v>
      </c>
      <c r="E64" s="20" t="s">
        <v>822</v>
      </c>
      <c r="F64" s="20" t="s">
        <v>823</v>
      </c>
      <c r="G64" s="20" t="s">
        <v>201</v>
      </c>
      <c r="H64" s="20" t="s">
        <v>132</v>
      </c>
      <c r="I64" s="20" t="s">
        <v>133</v>
      </c>
      <c r="J64" s="20" t="s">
        <v>134</v>
      </c>
      <c r="K64" s="20" t="s">
        <v>1054</v>
      </c>
      <c r="L64" s="20" t="s">
        <v>1055</v>
      </c>
      <c r="M64" s="20" t="s">
        <v>1056</v>
      </c>
      <c r="N64" s="20" t="s">
        <v>1057</v>
      </c>
      <c r="O64" s="20" t="s">
        <v>1058</v>
      </c>
      <c r="P64" s="20" t="s">
        <v>1059</v>
      </c>
      <c r="Q64" s="20" t="s">
        <v>1060</v>
      </c>
      <c r="R64" s="20" t="s">
        <v>1061</v>
      </c>
      <c r="S64" s="20" t="s">
        <v>1062</v>
      </c>
      <c r="T64" s="20" t="s">
        <v>1063</v>
      </c>
      <c r="U64" s="20" t="s">
        <v>1064</v>
      </c>
      <c r="V64" s="22" t="s">
        <v>1065</v>
      </c>
      <c r="W64" s="20" t="s">
        <v>1066</v>
      </c>
      <c r="X64" s="20" t="s">
        <v>1067</v>
      </c>
      <c r="Y64" s="20" t="s">
        <v>123</v>
      </c>
      <c r="Z64" s="20" t="s">
        <v>149</v>
      </c>
      <c r="AA64" s="20"/>
      <c r="AB64" s="20"/>
      <c r="AC64" s="20"/>
      <c r="AD64" s="20"/>
      <c r="AE64" s="20"/>
      <c r="AF64" s="20"/>
      <c r="AG64" s="20" t="s">
        <v>216</v>
      </c>
      <c r="AH64" s="20" t="s">
        <v>129</v>
      </c>
      <c r="AI64" s="20"/>
    </row>
    <row r="65" customFormat="false" ht="219.75" hidden="false" customHeight="true" outlineLevel="0" collapsed="false">
      <c r="A65" s="17" t="n">
        <v>61</v>
      </c>
      <c r="B65" s="18" t="n">
        <v>46412</v>
      </c>
      <c r="C65" s="17" t="s">
        <v>102</v>
      </c>
      <c r="D65" s="17" t="n">
        <v>13</v>
      </c>
      <c r="E65" s="17" t="s">
        <v>822</v>
      </c>
      <c r="F65" s="17" t="s">
        <v>823</v>
      </c>
      <c r="G65" s="17" t="s">
        <v>105</v>
      </c>
      <c r="H65" s="17" t="s">
        <v>106</v>
      </c>
      <c r="I65" s="17" t="s">
        <v>107</v>
      </c>
      <c r="J65" s="17" t="s">
        <v>108</v>
      </c>
      <c r="K65" s="17" t="s">
        <v>1068</v>
      </c>
      <c r="L65" s="17" t="s">
        <v>1069</v>
      </c>
      <c r="M65" s="17" t="s">
        <v>1070</v>
      </c>
      <c r="N65" s="17" t="s">
        <v>1071</v>
      </c>
      <c r="O65" s="17" t="s">
        <v>1072</v>
      </c>
      <c r="P65" s="17" t="s">
        <v>1073</v>
      </c>
      <c r="Q65" s="17" t="s">
        <v>1074</v>
      </c>
      <c r="R65" s="17" t="s">
        <v>1075</v>
      </c>
      <c r="S65" s="17" t="s">
        <v>1076</v>
      </c>
      <c r="T65" s="17" t="s">
        <v>1077</v>
      </c>
      <c r="U65" s="17" t="s">
        <v>1078</v>
      </c>
      <c r="V65" s="19" t="s">
        <v>1079</v>
      </c>
      <c r="W65" s="17" t="s">
        <v>1080</v>
      </c>
      <c r="X65" s="17" t="s">
        <v>1081</v>
      </c>
      <c r="Y65" s="17" t="s">
        <v>123</v>
      </c>
      <c r="Z65" s="17" t="s">
        <v>124</v>
      </c>
      <c r="AA65" s="17"/>
      <c r="AB65" s="17"/>
      <c r="AC65" s="17"/>
      <c r="AD65" s="17" t="s">
        <v>1082</v>
      </c>
      <c r="AE65" s="17" t="s">
        <v>1083</v>
      </c>
      <c r="AF65" s="17" t="s">
        <v>1084</v>
      </c>
      <c r="AG65" s="17" t="s">
        <v>128</v>
      </c>
      <c r="AH65" s="17" t="s">
        <v>129</v>
      </c>
      <c r="AI65" s="17"/>
    </row>
    <row r="66" customFormat="false" ht="219.75" hidden="false" customHeight="true" outlineLevel="0" collapsed="false">
      <c r="A66" s="20" t="n">
        <v>62</v>
      </c>
      <c r="B66" s="21" t="n">
        <v>46413</v>
      </c>
      <c r="C66" s="20" t="s">
        <v>130</v>
      </c>
      <c r="D66" s="20" t="n">
        <v>13</v>
      </c>
      <c r="E66" s="20" t="s">
        <v>822</v>
      </c>
      <c r="F66" s="20" t="s">
        <v>823</v>
      </c>
      <c r="G66" s="20" t="s">
        <v>131</v>
      </c>
      <c r="H66" s="20" t="s">
        <v>132</v>
      </c>
      <c r="I66" s="20" t="s">
        <v>133</v>
      </c>
      <c r="J66" s="20" t="s">
        <v>134</v>
      </c>
      <c r="K66" s="20" t="s">
        <v>1085</v>
      </c>
      <c r="L66" s="20" t="s">
        <v>1086</v>
      </c>
      <c r="M66" s="20" t="s">
        <v>1087</v>
      </c>
      <c r="N66" s="20" t="s">
        <v>1088</v>
      </c>
      <c r="O66" s="20" t="s">
        <v>1089</v>
      </c>
      <c r="P66" s="20" t="s">
        <v>1090</v>
      </c>
      <c r="Q66" s="20" t="s">
        <v>1091</v>
      </c>
      <c r="R66" s="20" t="s">
        <v>1092</v>
      </c>
      <c r="S66" s="20" t="s">
        <v>1093</v>
      </c>
      <c r="T66" s="20" t="s">
        <v>1094</v>
      </c>
      <c r="U66" s="20" t="s">
        <v>1095</v>
      </c>
      <c r="V66" s="22" t="s">
        <v>1096</v>
      </c>
      <c r="W66" s="20" t="s">
        <v>1097</v>
      </c>
      <c r="X66" s="20" t="s">
        <v>1098</v>
      </c>
      <c r="Y66" s="20" t="s">
        <v>123</v>
      </c>
      <c r="Z66" s="20" t="s">
        <v>149</v>
      </c>
      <c r="AA66" s="20"/>
      <c r="AB66" s="20"/>
      <c r="AC66" s="20"/>
      <c r="AD66" s="20"/>
      <c r="AE66" s="20"/>
      <c r="AF66" s="20"/>
      <c r="AG66" s="20" t="s">
        <v>150</v>
      </c>
      <c r="AH66" s="20" t="s">
        <v>129</v>
      </c>
      <c r="AI66" s="20"/>
    </row>
    <row r="67" customFormat="false" ht="219.75" hidden="false" customHeight="true" outlineLevel="0" collapsed="false">
      <c r="A67" s="23" t="n">
        <v>63</v>
      </c>
      <c r="B67" s="24" t="n">
        <v>46414</v>
      </c>
      <c r="C67" s="23" t="s">
        <v>151</v>
      </c>
      <c r="D67" s="23" t="n">
        <v>13</v>
      </c>
      <c r="E67" s="23" t="s">
        <v>822</v>
      </c>
      <c r="F67" s="23" t="s">
        <v>823</v>
      </c>
      <c r="G67" s="23" t="s">
        <v>152</v>
      </c>
      <c r="H67" s="23" t="s">
        <v>153</v>
      </c>
      <c r="I67" s="23" t="s">
        <v>154</v>
      </c>
      <c r="J67" s="23" t="s">
        <v>155</v>
      </c>
      <c r="K67" s="23" t="s">
        <v>1099</v>
      </c>
      <c r="L67" s="23" t="s">
        <v>1100</v>
      </c>
      <c r="M67" s="23" t="s">
        <v>1101</v>
      </c>
      <c r="N67" s="23" t="s">
        <v>1102</v>
      </c>
      <c r="O67" s="23" t="s">
        <v>1103</v>
      </c>
      <c r="P67" s="23" t="s">
        <v>1104</v>
      </c>
      <c r="Q67" s="23" t="s">
        <v>1105</v>
      </c>
      <c r="R67" s="23" t="s">
        <v>1106</v>
      </c>
      <c r="S67" s="23" t="s">
        <v>1107</v>
      </c>
      <c r="T67" s="23" t="s">
        <v>165</v>
      </c>
      <c r="U67" s="23" t="s">
        <v>1108</v>
      </c>
      <c r="V67" s="25" t="s">
        <v>1109</v>
      </c>
      <c r="W67" s="23" t="s">
        <v>1110</v>
      </c>
      <c r="X67" s="23" t="s">
        <v>1111</v>
      </c>
      <c r="Y67" s="23" t="s">
        <v>170</v>
      </c>
      <c r="Z67" s="23" t="s">
        <v>171</v>
      </c>
      <c r="AA67" s="23" t="s">
        <v>1112</v>
      </c>
      <c r="AB67" s="23" t="s">
        <v>1113</v>
      </c>
      <c r="AC67" s="23" t="s">
        <v>1114</v>
      </c>
      <c r="AD67" s="23"/>
      <c r="AE67" s="23"/>
      <c r="AF67" s="23"/>
      <c r="AG67" s="23" t="s">
        <v>175</v>
      </c>
      <c r="AH67" s="23" t="s">
        <v>129</v>
      </c>
      <c r="AI67" s="23"/>
    </row>
    <row r="68" customFormat="false" ht="219.75" hidden="false" customHeight="true" outlineLevel="0" collapsed="false">
      <c r="A68" s="26" t="n">
        <v>64</v>
      </c>
      <c r="B68" s="27" t="n">
        <v>46415</v>
      </c>
      <c r="C68" s="26" t="s">
        <v>176</v>
      </c>
      <c r="D68" s="26" t="n">
        <v>13</v>
      </c>
      <c r="E68" s="26" t="s">
        <v>822</v>
      </c>
      <c r="F68" s="26" t="s">
        <v>823</v>
      </c>
      <c r="G68" s="26" t="s">
        <v>177</v>
      </c>
      <c r="H68" s="26" t="s">
        <v>178</v>
      </c>
      <c r="I68" s="26" t="s">
        <v>179</v>
      </c>
      <c r="J68" s="26" t="s">
        <v>180</v>
      </c>
      <c r="K68" s="26" t="s">
        <v>1115</v>
      </c>
      <c r="L68" s="26" t="s">
        <v>1116</v>
      </c>
      <c r="M68" s="26" t="s">
        <v>1117</v>
      </c>
      <c r="N68" s="26" t="s">
        <v>1118</v>
      </c>
      <c r="O68" s="26" t="s">
        <v>1119</v>
      </c>
      <c r="P68" s="26" t="s">
        <v>1120</v>
      </c>
      <c r="Q68" s="26" t="s">
        <v>1121</v>
      </c>
      <c r="R68" s="26" t="s">
        <v>1122</v>
      </c>
      <c r="S68" s="26" t="s">
        <v>1123</v>
      </c>
      <c r="T68" s="26" t="s">
        <v>1124</v>
      </c>
      <c r="U68" s="26" t="s">
        <v>1125</v>
      </c>
      <c r="V68" s="28" t="s">
        <v>1126</v>
      </c>
      <c r="W68" s="26" t="s">
        <v>1127</v>
      </c>
      <c r="X68" s="26" t="s">
        <v>1128</v>
      </c>
      <c r="Y68" s="26" t="s">
        <v>195</v>
      </c>
      <c r="Z68" s="26" t="s">
        <v>196</v>
      </c>
      <c r="AA68" s="26" t="s">
        <v>1129</v>
      </c>
      <c r="AB68" s="26" t="s">
        <v>1130</v>
      </c>
      <c r="AC68" s="26" t="s">
        <v>1131</v>
      </c>
      <c r="AD68" s="26"/>
      <c r="AE68" s="26"/>
      <c r="AF68" s="26"/>
      <c r="AG68" s="26" t="s">
        <v>150</v>
      </c>
      <c r="AH68" s="26" t="s">
        <v>129</v>
      </c>
      <c r="AI68" s="26"/>
    </row>
    <row r="69" customFormat="false" ht="219.75" hidden="false" customHeight="true" outlineLevel="0" collapsed="false">
      <c r="A69" s="20" t="n">
        <v>65</v>
      </c>
      <c r="B69" s="21" t="n">
        <v>46416</v>
      </c>
      <c r="C69" s="20" t="s">
        <v>200</v>
      </c>
      <c r="D69" s="20" t="n">
        <v>13</v>
      </c>
      <c r="E69" s="20" t="s">
        <v>822</v>
      </c>
      <c r="F69" s="20" t="s">
        <v>823</v>
      </c>
      <c r="G69" s="20" t="s">
        <v>201</v>
      </c>
      <c r="H69" s="20" t="s">
        <v>132</v>
      </c>
      <c r="I69" s="20" t="s">
        <v>133</v>
      </c>
      <c r="J69" s="20" t="s">
        <v>134</v>
      </c>
      <c r="K69" s="20" t="s">
        <v>1132</v>
      </c>
      <c r="L69" s="20" t="s">
        <v>1133</v>
      </c>
      <c r="M69" s="20" t="s">
        <v>1134</v>
      </c>
      <c r="N69" s="20" t="s">
        <v>1135</v>
      </c>
      <c r="O69" s="20" t="s">
        <v>1136</v>
      </c>
      <c r="P69" s="20" t="s">
        <v>1137</v>
      </c>
      <c r="Q69" s="20" t="s">
        <v>1138</v>
      </c>
      <c r="R69" s="20" t="s">
        <v>1139</v>
      </c>
      <c r="S69" s="20" t="s">
        <v>1140</v>
      </c>
      <c r="T69" s="20" t="s">
        <v>1141</v>
      </c>
      <c r="U69" s="20" t="s">
        <v>1142</v>
      </c>
      <c r="V69" s="22" t="s">
        <v>1143</v>
      </c>
      <c r="W69" s="20" t="s">
        <v>1144</v>
      </c>
      <c r="X69" s="20" t="s">
        <v>1145</v>
      </c>
      <c r="Y69" s="20" t="s">
        <v>123</v>
      </c>
      <c r="Z69" s="20" t="s">
        <v>149</v>
      </c>
      <c r="AA69" s="20"/>
      <c r="AB69" s="20"/>
      <c r="AC69" s="20"/>
      <c r="AD69" s="20"/>
      <c r="AE69" s="20"/>
      <c r="AF69" s="20"/>
      <c r="AG69" s="20" t="s">
        <v>216</v>
      </c>
      <c r="AH69" s="20" t="s">
        <v>129</v>
      </c>
      <c r="AI69" s="20"/>
    </row>
    <row r="70" customFormat="false" ht="219.75" hidden="false" customHeight="true" outlineLevel="0" collapsed="false">
      <c r="A70" s="17" t="n">
        <v>66</v>
      </c>
      <c r="B70" s="18" t="n">
        <v>46419</v>
      </c>
      <c r="C70" s="17" t="s">
        <v>102</v>
      </c>
      <c r="D70" s="17" t="n">
        <v>14</v>
      </c>
      <c r="E70" s="17" t="s">
        <v>1146</v>
      </c>
      <c r="F70" s="17" t="s">
        <v>1147</v>
      </c>
      <c r="G70" s="17" t="s">
        <v>105</v>
      </c>
      <c r="H70" s="17" t="s">
        <v>106</v>
      </c>
      <c r="I70" s="17" t="s">
        <v>107</v>
      </c>
      <c r="J70" s="17" t="s">
        <v>108</v>
      </c>
      <c r="K70" s="17" t="s">
        <v>1148</v>
      </c>
      <c r="L70" s="17" t="s">
        <v>1149</v>
      </c>
      <c r="M70" s="17" t="s">
        <v>1150</v>
      </c>
      <c r="N70" s="17" t="s">
        <v>1151</v>
      </c>
      <c r="O70" s="17" t="s">
        <v>1152</v>
      </c>
      <c r="P70" s="17" t="s">
        <v>1153</v>
      </c>
      <c r="Q70" s="17" t="s">
        <v>1154</v>
      </c>
      <c r="R70" s="17" t="s">
        <v>1155</v>
      </c>
      <c r="S70" s="17" t="s">
        <v>1156</v>
      </c>
      <c r="T70" s="17" t="s">
        <v>1157</v>
      </c>
      <c r="U70" s="17" t="s">
        <v>1158</v>
      </c>
      <c r="V70" s="19" t="s">
        <v>1159</v>
      </c>
      <c r="W70" s="17" t="s">
        <v>1160</v>
      </c>
      <c r="X70" s="17" t="s">
        <v>1161</v>
      </c>
      <c r="Y70" s="17" t="s">
        <v>123</v>
      </c>
      <c r="Z70" s="17" t="s">
        <v>124</v>
      </c>
      <c r="AA70" s="17"/>
      <c r="AB70" s="17"/>
      <c r="AC70" s="17"/>
      <c r="AD70" s="17" t="s">
        <v>125</v>
      </c>
      <c r="AE70" s="17" t="s">
        <v>1162</v>
      </c>
      <c r="AF70" s="17" t="s">
        <v>1163</v>
      </c>
      <c r="AG70" s="17" t="s">
        <v>128</v>
      </c>
      <c r="AH70" s="17" t="s">
        <v>129</v>
      </c>
      <c r="AI70" s="17"/>
    </row>
    <row r="71" customFormat="false" ht="219.75" hidden="false" customHeight="true" outlineLevel="0" collapsed="false">
      <c r="A71" s="20" t="n">
        <v>67</v>
      </c>
      <c r="B71" s="21" t="n">
        <v>46420</v>
      </c>
      <c r="C71" s="20" t="s">
        <v>130</v>
      </c>
      <c r="D71" s="20" t="n">
        <v>14</v>
      </c>
      <c r="E71" s="20" t="s">
        <v>1146</v>
      </c>
      <c r="F71" s="20" t="s">
        <v>1147</v>
      </c>
      <c r="G71" s="20" t="s">
        <v>131</v>
      </c>
      <c r="H71" s="20" t="s">
        <v>132</v>
      </c>
      <c r="I71" s="20" t="s">
        <v>133</v>
      </c>
      <c r="J71" s="20" t="s">
        <v>134</v>
      </c>
      <c r="K71" s="20" t="s">
        <v>1164</v>
      </c>
      <c r="L71" s="20" t="s">
        <v>1165</v>
      </c>
      <c r="M71" s="20" t="s">
        <v>1166</v>
      </c>
      <c r="N71" s="20" t="s">
        <v>1167</v>
      </c>
      <c r="O71" s="20" t="s">
        <v>1168</v>
      </c>
      <c r="P71" s="20" t="s">
        <v>1169</v>
      </c>
      <c r="Q71" s="20" t="s">
        <v>1170</v>
      </c>
      <c r="R71" s="20" t="s">
        <v>1171</v>
      </c>
      <c r="S71" s="20" t="s">
        <v>1172</v>
      </c>
      <c r="T71" s="20" t="s">
        <v>1173</v>
      </c>
      <c r="U71" s="20" t="s">
        <v>1174</v>
      </c>
      <c r="V71" s="22" t="s">
        <v>1175</v>
      </c>
      <c r="W71" s="20" t="s">
        <v>1176</v>
      </c>
      <c r="X71" s="20" t="s">
        <v>1177</v>
      </c>
      <c r="Y71" s="20" t="s">
        <v>123</v>
      </c>
      <c r="Z71" s="20" t="s">
        <v>149</v>
      </c>
      <c r="AA71" s="20"/>
      <c r="AB71" s="20"/>
      <c r="AC71" s="20"/>
      <c r="AD71" s="20"/>
      <c r="AE71" s="20"/>
      <c r="AF71" s="20"/>
      <c r="AG71" s="20" t="s">
        <v>150</v>
      </c>
      <c r="AH71" s="20" t="s">
        <v>129</v>
      </c>
      <c r="AI71" s="20"/>
    </row>
    <row r="72" customFormat="false" ht="219.75" hidden="false" customHeight="true" outlineLevel="0" collapsed="false">
      <c r="A72" s="23" t="n">
        <v>68</v>
      </c>
      <c r="B72" s="24" t="n">
        <v>46421</v>
      </c>
      <c r="C72" s="23" t="s">
        <v>151</v>
      </c>
      <c r="D72" s="23" t="n">
        <v>14</v>
      </c>
      <c r="E72" s="23" t="s">
        <v>1146</v>
      </c>
      <c r="F72" s="23" t="s">
        <v>1147</v>
      </c>
      <c r="G72" s="23" t="s">
        <v>152</v>
      </c>
      <c r="H72" s="23" t="s">
        <v>153</v>
      </c>
      <c r="I72" s="23" t="s">
        <v>154</v>
      </c>
      <c r="J72" s="23" t="s">
        <v>155</v>
      </c>
      <c r="K72" s="23" t="s">
        <v>1178</v>
      </c>
      <c r="L72" s="23" t="s">
        <v>1179</v>
      </c>
      <c r="M72" s="23" t="s">
        <v>1180</v>
      </c>
      <c r="N72" s="23" t="s">
        <v>1181</v>
      </c>
      <c r="O72" s="23" t="s">
        <v>1182</v>
      </c>
      <c r="P72" s="23" t="s">
        <v>1183</v>
      </c>
      <c r="Q72" s="23" t="s">
        <v>1184</v>
      </c>
      <c r="R72" s="23" t="s">
        <v>1185</v>
      </c>
      <c r="S72" s="23" t="s">
        <v>1186</v>
      </c>
      <c r="T72" s="23" t="s">
        <v>165</v>
      </c>
      <c r="U72" s="23" t="s">
        <v>1187</v>
      </c>
      <c r="V72" s="25" t="s">
        <v>1188</v>
      </c>
      <c r="W72" s="23" t="s">
        <v>1189</v>
      </c>
      <c r="X72" s="23" t="s">
        <v>1190</v>
      </c>
      <c r="Y72" s="23" t="s">
        <v>170</v>
      </c>
      <c r="Z72" s="23" t="s">
        <v>171</v>
      </c>
      <c r="AA72" s="23" t="s">
        <v>1191</v>
      </c>
      <c r="AB72" s="23" t="s">
        <v>1192</v>
      </c>
      <c r="AC72" s="23" t="s">
        <v>1193</v>
      </c>
      <c r="AD72" s="23"/>
      <c r="AE72" s="23"/>
      <c r="AF72" s="23"/>
      <c r="AG72" s="23" t="s">
        <v>175</v>
      </c>
      <c r="AH72" s="23" t="s">
        <v>129</v>
      </c>
      <c r="AI72" s="23"/>
    </row>
    <row r="73" customFormat="false" ht="219.75" hidden="false" customHeight="true" outlineLevel="0" collapsed="false">
      <c r="A73" s="26" t="n">
        <v>69</v>
      </c>
      <c r="B73" s="27" t="n">
        <v>46422</v>
      </c>
      <c r="C73" s="26" t="s">
        <v>176</v>
      </c>
      <c r="D73" s="26" t="n">
        <v>14</v>
      </c>
      <c r="E73" s="26" t="s">
        <v>1146</v>
      </c>
      <c r="F73" s="26" t="s">
        <v>1147</v>
      </c>
      <c r="G73" s="26" t="s">
        <v>177</v>
      </c>
      <c r="H73" s="26" t="s">
        <v>178</v>
      </c>
      <c r="I73" s="26" t="s">
        <v>179</v>
      </c>
      <c r="J73" s="26" t="s">
        <v>180</v>
      </c>
      <c r="K73" s="26" t="s">
        <v>1194</v>
      </c>
      <c r="L73" s="26" t="s">
        <v>1195</v>
      </c>
      <c r="M73" s="26" t="s">
        <v>1196</v>
      </c>
      <c r="N73" s="26" t="s">
        <v>1197</v>
      </c>
      <c r="O73" s="26" t="s">
        <v>1198</v>
      </c>
      <c r="P73" s="26" t="s">
        <v>1199</v>
      </c>
      <c r="Q73" s="26" t="s">
        <v>1200</v>
      </c>
      <c r="R73" s="26" t="s">
        <v>1201</v>
      </c>
      <c r="S73" s="26" t="s">
        <v>1202</v>
      </c>
      <c r="T73" s="26" t="s">
        <v>1203</v>
      </c>
      <c r="U73" s="26" t="s">
        <v>1204</v>
      </c>
      <c r="V73" s="28" t="s">
        <v>1205</v>
      </c>
      <c r="W73" s="26" t="s">
        <v>1206</v>
      </c>
      <c r="X73" s="26" t="s">
        <v>1207</v>
      </c>
      <c r="Y73" s="26" t="s">
        <v>195</v>
      </c>
      <c r="Z73" s="26" t="s">
        <v>196</v>
      </c>
      <c r="AA73" s="26" t="s">
        <v>1208</v>
      </c>
      <c r="AB73" s="26" t="s">
        <v>1209</v>
      </c>
      <c r="AC73" s="26" t="s">
        <v>1210</v>
      </c>
      <c r="AD73" s="26"/>
      <c r="AE73" s="26"/>
      <c r="AF73" s="26"/>
      <c r="AG73" s="26" t="s">
        <v>150</v>
      </c>
      <c r="AH73" s="26" t="s">
        <v>129</v>
      </c>
      <c r="AI73" s="26"/>
    </row>
    <row r="74" customFormat="false" ht="219.75" hidden="false" customHeight="true" outlineLevel="0" collapsed="false">
      <c r="A74" s="20" t="n">
        <v>70</v>
      </c>
      <c r="B74" s="21" t="n">
        <v>46423</v>
      </c>
      <c r="C74" s="20" t="s">
        <v>200</v>
      </c>
      <c r="D74" s="20" t="n">
        <v>14</v>
      </c>
      <c r="E74" s="20" t="s">
        <v>1146</v>
      </c>
      <c r="F74" s="20" t="s">
        <v>1147</v>
      </c>
      <c r="G74" s="20" t="s">
        <v>201</v>
      </c>
      <c r="H74" s="20" t="s">
        <v>132</v>
      </c>
      <c r="I74" s="20" t="s">
        <v>133</v>
      </c>
      <c r="J74" s="20" t="s">
        <v>134</v>
      </c>
      <c r="K74" s="20" t="s">
        <v>1211</v>
      </c>
      <c r="L74" s="20" t="s">
        <v>1212</v>
      </c>
      <c r="M74" s="20" t="s">
        <v>1213</v>
      </c>
      <c r="N74" s="20" t="s">
        <v>1214</v>
      </c>
      <c r="O74" s="20" t="s">
        <v>1215</v>
      </c>
      <c r="P74" s="20" t="s">
        <v>1216</v>
      </c>
      <c r="Q74" s="20" t="s">
        <v>1217</v>
      </c>
      <c r="R74" s="20" t="s">
        <v>1218</v>
      </c>
      <c r="S74" s="20" t="s">
        <v>1219</v>
      </c>
      <c r="T74" s="20" t="s">
        <v>1220</v>
      </c>
      <c r="U74" s="20" t="s">
        <v>1221</v>
      </c>
      <c r="V74" s="22" t="s">
        <v>1222</v>
      </c>
      <c r="W74" s="20" t="s">
        <v>1223</v>
      </c>
      <c r="X74" s="20" t="s">
        <v>1224</v>
      </c>
      <c r="Y74" s="20" t="s">
        <v>123</v>
      </c>
      <c r="Z74" s="20" t="s">
        <v>149</v>
      </c>
      <c r="AA74" s="20"/>
      <c r="AB74" s="20"/>
      <c r="AC74" s="20"/>
      <c r="AD74" s="20"/>
      <c r="AE74" s="20"/>
      <c r="AF74" s="20"/>
      <c r="AG74" s="20" t="s">
        <v>216</v>
      </c>
      <c r="AH74" s="20" t="s">
        <v>129</v>
      </c>
      <c r="AI74" s="20"/>
    </row>
    <row r="75" customFormat="false" ht="219.75" hidden="false" customHeight="true" outlineLevel="0" collapsed="false">
      <c r="A75" s="17" t="n">
        <v>71</v>
      </c>
      <c r="B75" s="18" t="n">
        <v>46426</v>
      </c>
      <c r="C75" s="17" t="s">
        <v>102</v>
      </c>
      <c r="D75" s="17" t="n">
        <v>15</v>
      </c>
      <c r="E75" s="17" t="s">
        <v>1146</v>
      </c>
      <c r="F75" s="17" t="s">
        <v>1147</v>
      </c>
      <c r="G75" s="17" t="s">
        <v>105</v>
      </c>
      <c r="H75" s="17" t="s">
        <v>106</v>
      </c>
      <c r="I75" s="17" t="s">
        <v>107</v>
      </c>
      <c r="J75" s="17" t="s">
        <v>108</v>
      </c>
      <c r="K75" s="17" t="s">
        <v>1225</v>
      </c>
      <c r="L75" s="17" t="s">
        <v>1226</v>
      </c>
      <c r="M75" s="17" t="s">
        <v>1227</v>
      </c>
      <c r="N75" s="17" t="s">
        <v>1228</v>
      </c>
      <c r="O75" s="17" t="s">
        <v>1229</v>
      </c>
      <c r="P75" s="17" t="s">
        <v>1230</v>
      </c>
      <c r="Q75" s="17" t="s">
        <v>1231</v>
      </c>
      <c r="R75" s="17" t="s">
        <v>1232</v>
      </c>
      <c r="S75" s="17" t="s">
        <v>1233</v>
      </c>
      <c r="T75" s="17" t="s">
        <v>1234</v>
      </c>
      <c r="U75" s="17" t="s">
        <v>1235</v>
      </c>
      <c r="V75" s="19" t="s">
        <v>1236</v>
      </c>
      <c r="W75" s="17" t="s">
        <v>1237</v>
      </c>
      <c r="X75" s="17" t="s">
        <v>1238</v>
      </c>
      <c r="Y75" s="17" t="s">
        <v>123</v>
      </c>
      <c r="Z75" s="17" t="s">
        <v>124</v>
      </c>
      <c r="AA75" s="17"/>
      <c r="AB75" s="17"/>
      <c r="AC75" s="17"/>
      <c r="AD75" s="17" t="s">
        <v>231</v>
      </c>
      <c r="AE75" s="17" t="s">
        <v>1239</v>
      </c>
      <c r="AF75" s="17" t="s">
        <v>1240</v>
      </c>
      <c r="AG75" s="17" t="s">
        <v>128</v>
      </c>
      <c r="AH75" s="17" t="s">
        <v>129</v>
      </c>
      <c r="AI75" s="17"/>
    </row>
    <row r="76" customFormat="false" ht="219.75" hidden="false" customHeight="true" outlineLevel="0" collapsed="false">
      <c r="A76" s="20" t="n">
        <v>72</v>
      </c>
      <c r="B76" s="21" t="n">
        <v>46427</v>
      </c>
      <c r="C76" s="20" t="s">
        <v>130</v>
      </c>
      <c r="D76" s="20" t="n">
        <v>15</v>
      </c>
      <c r="E76" s="20" t="s">
        <v>1146</v>
      </c>
      <c r="F76" s="20" t="s">
        <v>1147</v>
      </c>
      <c r="G76" s="20" t="s">
        <v>131</v>
      </c>
      <c r="H76" s="20" t="s">
        <v>132</v>
      </c>
      <c r="I76" s="20" t="s">
        <v>133</v>
      </c>
      <c r="J76" s="20" t="s">
        <v>134</v>
      </c>
      <c r="K76" s="20" t="s">
        <v>1241</v>
      </c>
      <c r="L76" s="20" t="s">
        <v>1242</v>
      </c>
      <c r="M76" s="20" t="s">
        <v>1243</v>
      </c>
      <c r="N76" s="20" t="s">
        <v>1244</v>
      </c>
      <c r="O76" s="20" t="s">
        <v>1245</v>
      </c>
      <c r="P76" s="20" t="s">
        <v>1246</v>
      </c>
      <c r="Q76" s="20" t="s">
        <v>1247</v>
      </c>
      <c r="R76" s="20" t="s">
        <v>1248</v>
      </c>
      <c r="S76" s="20" t="s">
        <v>1249</v>
      </c>
      <c r="T76" s="20" t="s">
        <v>1250</v>
      </c>
      <c r="U76" s="20" t="s">
        <v>1251</v>
      </c>
      <c r="V76" s="22" t="s">
        <v>1252</v>
      </c>
      <c r="W76" s="20" t="s">
        <v>1253</v>
      </c>
      <c r="X76" s="20" t="s">
        <v>1254</v>
      </c>
      <c r="Y76" s="20" t="s">
        <v>123</v>
      </c>
      <c r="Z76" s="20" t="s">
        <v>149</v>
      </c>
      <c r="AA76" s="20"/>
      <c r="AB76" s="20"/>
      <c r="AC76" s="20"/>
      <c r="AD76" s="20"/>
      <c r="AE76" s="20"/>
      <c r="AF76" s="20"/>
      <c r="AG76" s="20" t="s">
        <v>150</v>
      </c>
      <c r="AH76" s="20" t="s">
        <v>129</v>
      </c>
      <c r="AI76" s="20"/>
    </row>
    <row r="77" customFormat="false" ht="219.75" hidden="false" customHeight="true" outlineLevel="0" collapsed="false">
      <c r="A77" s="23" t="n">
        <v>73</v>
      </c>
      <c r="B77" s="24" t="n">
        <v>46428</v>
      </c>
      <c r="C77" s="23" t="s">
        <v>151</v>
      </c>
      <c r="D77" s="23" t="n">
        <v>15</v>
      </c>
      <c r="E77" s="23" t="s">
        <v>1146</v>
      </c>
      <c r="F77" s="23" t="s">
        <v>1147</v>
      </c>
      <c r="G77" s="23" t="s">
        <v>152</v>
      </c>
      <c r="H77" s="23" t="s">
        <v>153</v>
      </c>
      <c r="I77" s="23" t="s">
        <v>154</v>
      </c>
      <c r="J77" s="23" t="s">
        <v>155</v>
      </c>
      <c r="K77" s="23" t="s">
        <v>1255</v>
      </c>
      <c r="L77" s="23" t="s">
        <v>1256</v>
      </c>
      <c r="M77" s="23" t="s">
        <v>1257</v>
      </c>
      <c r="N77" s="23" t="s">
        <v>1258</v>
      </c>
      <c r="O77" s="23" t="s">
        <v>1259</v>
      </c>
      <c r="P77" s="23" t="s">
        <v>1260</v>
      </c>
      <c r="Q77" s="23" t="s">
        <v>1261</v>
      </c>
      <c r="R77" s="23" t="s">
        <v>1262</v>
      </c>
      <c r="S77" s="23" t="s">
        <v>1263</v>
      </c>
      <c r="T77" s="23" t="s">
        <v>165</v>
      </c>
      <c r="U77" s="23" t="s">
        <v>1264</v>
      </c>
      <c r="V77" s="25" t="s">
        <v>1265</v>
      </c>
      <c r="W77" s="23" t="s">
        <v>1266</v>
      </c>
      <c r="X77" s="23" t="s">
        <v>1267</v>
      </c>
      <c r="Y77" s="23" t="s">
        <v>170</v>
      </c>
      <c r="Z77" s="23" t="s">
        <v>171</v>
      </c>
      <c r="AA77" s="23" t="s">
        <v>1268</v>
      </c>
      <c r="AB77" s="23" t="s">
        <v>1269</v>
      </c>
      <c r="AC77" s="23" t="s">
        <v>1270</v>
      </c>
      <c r="AD77" s="23"/>
      <c r="AE77" s="23"/>
      <c r="AF77" s="23"/>
      <c r="AG77" s="23" t="s">
        <v>175</v>
      </c>
      <c r="AH77" s="23" t="s">
        <v>129</v>
      </c>
      <c r="AI77" s="23"/>
    </row>
    <row r="78" customFormat="false" ht="219.75" hidden="false" customHeight="true" outlineLevel="0" collapsed="false">
      <c r="A78" s="26" t="n">
        <v>74</v>
      </c>
      <c r="B78" s="27" t="n">
        <v>46429</v>
      </c>
      <c r="C78" s="26" t="s">
        <v>176</v>
      </c>
      <c r="D78" s="26" t="n">
        <v>15</v>
      </c>
      <c r="E78" s="26" t="s">
        <v>1146</v>
      </c>
      <c r="F78" s="26" t="s">
        <v>1147</v>
      </c>
      <c r="G78" s="26" t="s">
        <v>177</v>
      </c>
      <c r="H78" s="26" t="s">
        <v>178</v>
      </c>
      <c r="I78" s="26" t="s">
        <v>179</v>
      </c>
      <c r="J78" s="26" t="s">
        <v>180</v>
      </c>
      <c r="K78" s="26" t="s">
        <v>1271</v>
      </c>
      <c r="L78" s="26" t="s">
        <v>1272</v>
      </c>
      <c r="M78" s="26" t="s">
        <v>1273</v>
      </c>
      <c r="N78" s="26" t="s">
        <v>1274</v>
      </c>
      <c r="O78" s="26" t="s">
        <v>1275</v>
      </c>
      <c r="P78" s="26" t="s">
        <v>1276</v>
      </c>
      <c r="Q78" s="26" t="s">
        <v>1277</v>
      </c>
      <c r="R78" s="26" t="s">
        <v>1278</v>
      </c>
      <c r="S78" s="26" t="s">
        <v>1279</v>
      </c>
      <c r="T78" s="26" t="s">
        <v>1280</v>
      </c>
      <c r="U78" s="26" t="s">
        <v>1281</v>
      </c>
      <c r="V78" s="28" t="s">
        <v>1282</v>
      </c>
      <c r="W78" s="26" t="s">
        <v>1283</v>
      </c>
      <c r="X78" s="26" t="s">
        <v>1284</v>
      </c>
      <c r="Y78" s="26" t="s">
        <v>195</v>
      </c>
      <c r="Z78" s="26" t="s">
        <v>196</v>
      </c>
      <c r="AA78" s="26" t="s">
        <v>1285</v>
      </c>
      <c r="AB78" s="26" t="s">
        <v>1286</v>
      </c>
      <c r="AC78" s="26" t="s">
        <v>1287</v>
      </c>
      <c r="AD78" s="26"/>
      <c r="AE78" s="26"/>
      <c r="AF78" s="26"/>
      <c r="AG78" s="26" t="s">
        <v>150</v>
      </c>
      <c r="AH78" s="26" t="s">
        <v>129</v>
      </c>
      <c r="AI78" s="26"/>
    </row>
    <row r="79" customFormat="false" ht="219.75" hidden="false" customHeight="true" outlineLevel="0" collapsed="false">
      <c r="A79" s="20" t="n">
        <v>75</v>
      </c>
      <c r="B79" s="21" t="n">
        <v>46430</v>
      </c>
      <c r="C79" s="20" t="s">
        <v>200</v>
      </c>
      <c r="D79" s="20" t="n">
        <v>15</v>
      </c>
      <c r="E79" s="20" t="s">
        <v>1146</v>
      </c>
      <c r="F79" s="20" t="s">
        <v>1147</v>
      </c>
      <c r="G79" s="20" t="s">
        <v>201</v>
      </c>
      <c r="H79" s="20" t="s">
        <v>132</v>
      </c>
      <c r="I79" s="20" t="s">
        <v>133</v>
      </c>
      <c r="J79" s="20" t="s">
        <v>134</v>
      </c>
      <c r="K79" s="20" t="s">
        <v>1288</v>
      </c>
      <c r="L79" s="20" t="s">
        <v>1289</v>
      </c>
      <c r="M79" s="20" t="s">
        <v>1290</v>
      </c>
      <c r="N79" s="20" t="s">
        <v>1291</v>
      </c>
      <c r="O79" s="20" t="s">
        <v>1292</v>
      </c>
      <c r="P79" s="20" t="s">
        <v>1293</v>
      </c>
      <c r="Q79" s="20" t="s">
        <v>1294</v>
      </c>
      <c r="R79" s="20" t="s">
        <v>1295</v>
      </c>
      <c r="S79" s="20" t="s">
        <v>1296</v>
      </c>
      <c r="T79" s="20" t="s">
        <v>1297</v>
      </c>
      <c r="U79" s="20" t="s">
        <v>1298</v>
      </c>
      <c r="V79" s="22" t="s">
        <v>1299</v>
      </c>
      <c r="W79" s="20" t="s">
        <v>1300</v>
      </c>
      <c r="X79" s="20" t="s">
        <v>1301</v>
      </c>
      <c r="Y79" s="20" t="s">
        <v>123</v>
      </c>
      <c r="Z79" s="20" t="s">
        <v>149</v>
      </c>
      <c r="AA79" s="20"/>
      <c r="AB79" s="20"/>
      <c r="AC79" s="20"/>
      <c r="AD79" s="20"/>
      <c r="AE79" s="20"/>
      <c r="AF79" s="20"/>
      <c r="AG79" s="20" t="s">
        <v>216</v>
      </c>
      <c r="AH79" s="20" t="s">
        <v>129</v>
      </c>
      <c r="AI79" s="20"/>
    </row>
    <row r="80" customFormat="false" ht="219.75" hidden="false" customHeight="true" outlineLevel="0" collapsed="false">
      <c r="A80" s="17" t="n">
        <v>76</v>
      </c>
      <c r="B80" s="18" t="n">
        <v>46433</v>
      </c>
      <c r="C80" s="17" t="s">
        <v>102</v>
      </c>
      <c r="D80" s="17" t="n">
        <v>16</v>
      </c>
      <c r="E80" s="17" t="s">
        <v>1146</v>
      </c>
      <c r="F80" s="17" t="s">
        <v>1147</v>
      </c>
      <c r="G80" s="17" t="s">
        <v>105</v>
      </c>
      <c r="H80" s="17" t="s">
        <v>106</v>
      </c>
      <c r="I80" s="17" t="s">
        <v>107</v>
      </c>
      <c r="J80" s="17" t="s">
        <v>108</v>
      </c>
      <c r="K80" s="17" t="s">
        <v>1302</v>
      </c>
      <c r="L80" s="17" t="s">
        <v>1303</v>
      </c>
      <c r="M80" s="17" t="s">
        <v>1304</v>
      </c>
      <c r="N80" s="17" t="s">
        <v>1305</v>
      </c>
      <c r="O80" s="17" t="s">
        <v>1306</v>
      </c>
      <c r="P80" s="17" t="s">
        <v>1307</v>
      </c>
      <c r="Q80" s="17" t="s">
        <v>1308</v>
      </c>
      <c r="R80" s="17" t="s">
        <v>1309</v>
      </c>
      <c r="S80" s="17" t="s">
        <v>1310</v>
      </c>
      <c r="T80" s="17" t="s">
        <v>1311</v>
      </c>
      <c r="U80" s="17" t="s">
        <v>1312</v>
      </c>
      <c r="V80" s="19" t="s">
        <v>1313</v>
      </c>
      <c r="W80" s="17" t="s">
        <v>1314</v>
      </c>
      <c r="X80" s="17" t="s">
        <v>1315</v>
      </c>
      <c r="Y80" s="17" t="s">
        <v>123</v>
      </c>
      <c r="Z80" s="17" t="s">
        <v>124</v>
      </c>
      <c r="AA80" s="17"/>
      <c r="AB80" s="17"/>
      <c r="AC80" s="17"/>
      <c r="AD80" s="17" t="s">
        <v>1082</v>
      </c>
      <c r="AE80" s="17" t="s">
        <v>1316</v>
      </c>
      <c r="AF80" s="17" t="s">
        <v>1317</v>
      </c>
      <c r="AG80" s="17" t="s">
        <v>128</v>
      </c>
      <c r="AH80" s="17" t="s">
        <v>129</v>
      </c>
      <c r="AI80" s="17"/>
    </row>
    <row r="81" customFormat="false" ht="219.75" hidden="false" customHeight="true" outlineLevel="0" collapsed="false">
      <c r="A81" s="20" t="n">
        <v>77</v>
      </c>
      <c r="B81" s="21" t="n">
        <v>46434</v>
      </c>
      <c r="C81" s="20" t="s">
        <v>130</v>
      </c>
      <c r="D81" s="20" t="n">
        <v>16</v>
      </c>
      <c r="E81" s="20" t="s">
        <v>1146</v>
      </c>
      <c r="F81" s="20" t="s">
        <v>1147</v>
      </c>
      <c r="G81" s="20" t="s">
        <v>131</v>
      </c>
      <c r="H81" s="20" t="s">
        <v>132</v>
      </c>
      <c r="I81" s="20" t="s">
        <v>133</v>
      </c>
      <c r="J81" s="20" t="s">
        <v>134</v>
      </c>
      <c r="K81" s="20" t="s">
        <v>1318</v>
      </c>
      <c r="L81" s="20" t="s">
        <v>1319</v>
      </c>
      <c r="M81" s="20" t="s">
        <v>1320</v>
      </c>
      <c r="N81" s="20" t="s">
        <v>1321</v>
      </c>
      <c r="O81" s="20" t="s">
        <v>1322</v>
      </c>
      <c r="P81" s="20" t="s">
        <v>1323</v>
      </c>
      <c r="Q81" s="20" t="s">
        <v>1324</v>
      </c>
      <c r="R81" s="20" t="s">
        <v>1325</v>
      </c>
      <c r="S81" s="20" t="s">
        <v>1326</v>
      </c>
      <c r="T81" s="20" t="s">
        <v>1327</v>
      </c>
      <c r="U81" s="20" t="s">
        <v>1328</v>
      </c>
      <c r="V81" s="22" t="s">
        <v>1329</v>
      </c>
      <c r="W81" s="20" t="s">
        <v>1330</v>
      </c>
      <c r="X81" s="20" t="s">
        <v>1331</v>
      </c>
      <c r="Y81" s="20" t="s">
        <v>123</v>
      </c>
      <c r="Z81" s="20" t="s">
        <v>149</v>
      </c>
      <c r="AA81" s="20"/>
      <c r="AB81" s="20"/>
      <c r="AC81" s="20"/>
      <c r="AD81" s="20"/>
      <c r="AE81" s="20"/>
      <c r="AF81" s="20"/>
      <c r="AG81" s="20" t="s">
        <v>150</v>
      </c>
      <c r="AH81" s="20" t="s">
        <v>129</v>
      </c>
      <c r="AI81" s="20"/>
    </row>
    <row r="82" customFormat="false" ht="219.75" hidden="false" customHeight="true" outlineLevel="0" collapsed="false">
      <c r="A82" s="23" t="n">
        <v>78</v>
      </c>
      <c r="B82" s="24" t="n">
        <v>46435</v>
      </c>
      <c r="C82" s="23" t="s">
        <v>151</v>
      </c>
      <c r="D82" s="23" t="n">
        <v>16</v>
      </c>
      <c r="E82" s="23" t="s">
        <v>1146</v>
      </c>
      <c r="F82" s="23" t="s">
        <v>1147</v>
      </c>
      <c r="G82" s="23" t="s">
        <v>152</v>
      </c>
      <c r="H82" s="23" t="s">
        <v>153</v>
      </c>
      <c r="I82" s="23" t="s">
        <v>154</v>
      </c>
      <c r="J82" s="23" t="s">
        <v>155</v>
      </c>
      <c r="K82" s="23" t="s">
        <v>1332</v>
      </c>
      <c r="L82" s="23" t="s">
        <v>1333</v>
      </c>
      <c r="M82" s="23" t="s">
        <v>1334</v>
      </c>
      <c r="N82" s="23" t="s">
        <v>1335</v>
      </c>
      <c r="O82" s="23" t="s">
        <v>1336</v>
      </c>
      <c r="P82" s="23" t="s">
        <v>1337</v>
      </c>
      <c r="Q82" s="23" t="s">
        <v>1338</v>
      </c>
      <c r="R82" s="23" t="s">
        <v>1339</v>
      </c>
      <c r="S82" s="23" t="s">
        <v>1340</v>
      </c>
      <c r="T82" s="23" t="s">
        <v>165</v>
      </c>
      <c r="U82" s="23" t="s">
        <v>1341</v>
      </c>
      <c r="V82" s="25" t="s">
        <v>1342</v>
      </c>
      <c r="W82" s="23" t="s">
        <v>1343</v>
      </c>
      <c r="X82" s="23" t="s">
        <v>1344</v>
      </c>
      <c r="Y82" s="23" t="s">
        <v>170</v>
      </c>
      <c r="Z82" s="23" t="s">
        <v>171</v>
      </c>
      <c r="AA82" s="23" t="s">
        <v>1345</v>
      </c>
      <c r="AB82" s="23" t="s">
        <v>1346</v>
      </c>
      <c r="AC82" s="23" t="s">
        <v>1347</v>
      </c>
      <c r="AD82" s="23"/>
      <c r="AE82" s="23"/>
      <c r="AF82" s="23"/>
      <c r="AG82" s="23" t="s">
        <v>175</v>
      </c>
      <c r="AH82" s="23" t="s">
        <v>129</v>
      </c>
      <c r="AI82" s="23"/>
    </row>
    <row r="83" customFormat="false" ht="219.75" hidden="false" customHeight="true" outlineLevel="0" collapsed="false">
      <c r="A83" s="26" t="n">
        <v>79</v>
      </c>
      <c r="B83" s="27" t="n">
        <v>46436</v>
      </c>
      <c r="C83" s="26" t="s">
        <v>176</v>
      </c>
      <c r="D83" s="26" t="n">
        <v>16</v>
      </c>
      <c r="E83" s="26" t="s">
        <v>1146</v>
      </c>
      <c r="F83" s="26" t="s">
        <v>1147</v>
      </c>
      <c r="G83" s="26" t="s">
        <v>177</v>
      </c>
      <c r="H83" s="26" t="s">
        <v>178</v>
      </c>
      <c r="I83" s="26" t="s">
        <v>179</v>
      </c>
      <c r="J83" s="26" t="s">
        <v>180</v>
      </c>
      <c r="K83" s="26" t="s">
        <v>1348</v>
      </c>
      <c r="L83" s="26" t="s">
        <v>1349</v>
      </c>
      <c r="M83" s="26" t="s">
        <v>1350</v>
      </c>
      <c r="N83" s="26" t="s">
        <v>1351</v>
      </c>
      <c r="O83" s="26" t="s">
        <v>1352</v>
      </c>
      <c r="P83" s="26" t="s">
        <v>1353</v>
      </c>
      <c r="Q83" s="26" t="s">
        <v>1354</v>
      </c>
      <c r="R83" s="26" t="s">
        <v>1355</v>
      </c>
      <c r="S83" s="26" t="s">
        <v>1356</v>
      </c>
      <c r="T83" s="26" t="s">
        <v>1357</v>
      </c>
      <c r="U83" s="26" t="s">
        <v>1358</v>
      </c>
      <c r="V83" s="28" t="s">
        <v>1359</v>
      </c>
      <c r="W83" s="26" t="s">
        <v>1360</v>
      </c>
      <c r="X83" s="26" t="s">
        <v>1361</v>
      </c>
      <c r="Y83" s="26" t="s">
        <v>195</v>
      </c>
      <c r="Z83" s="26" t="s">
        <v>196</v>
      </c>
      <c r="AA83" s="26" t="s">
        <v>1362</v>
      </c>
      <c r="AB83" s="26" t="s">
        <v>1363</v>
      </c>
      <c r="AC83" s="26" t="s">
        <v>1364</v>
      </c>
      <c r="AD83" s="26"/>
      <c r="AE83" s="26"/>
      <c r="AF83" s="26"/>
      <c r="AG83" s="26" t="s">
        <v>150</v>
      </c>
      <c r="AH83" s="26" t="s">
        <v>129</v>
      </c>
      <c r="AI83" s="26"/>
    </row>
    <row r="84" customFormat="false" ht="219.75" hidden="false" customHeight="true" outlineLevel="0" collapsed="false">
      <c r="A84" s="20" t="n">
        <v>80</v>
      </c>
      <c r="B84" s="21" t="n">
        <v>46437</v>
      </c>
      <c r="C84" s="20" t="s">
        <v>200</v>
      </c>
      <c r="D84" s="20" t="n">
        <v>16</v>
      </c>
      <c r="E84" s="20" t="s">
        <v>1146</v>
      </c>
      <c r="F84" s="20" t="s">
        <v>1147</v>
      </c>
      <c r="G84" s="20" t="s">
        <v>201</v>
      </c>
      <c r="H84" s="20" t="s">
        <v>132</v>
      </c>
      <c r="I84" s="20" t="s">
        <v>133</v>
      </c>
      <c r="J84" s="20" t="s">
        <v>134</v>
      </c>
      <c r="K84" s="20" t="s">
        <v>1365</v>
      </c>
      <c r="L84" s="20" t="s">
        <v>1366</v>
      </c>
      <c r="M84" s="20" t="s">
        <v>1367</v>
      </c>
      <c r="N84" s="20" t="s">
        <v>1368</v>
      </c>
      <c r="O84" s="20" t="s">
        <v>1369</v>
      </c>
      <c r="P84" s="20" t="s">
        <v>1370</v>
      </c>
      <c r="Q84" s="20" t="s">
        <v>1371</v>
      </c>
      <c r="R84" s="20" t="s">
        <v>1372</v>
      </c>
      <c r="S84" s="20" t="s">
        <v>1373</v>
      </c>
      <c r="T84" s="20" t="s">
        <v>1374</v>
      </c>
      <c r="U84" s="20" t="s">
        <v>1375</v>
      </c>
      <c r="V84" s="22" t="s">
        <v>1376</v>
      </c>
      <c r="W84" s="20" t="s">
        <v>1377</v>
      </c>
      <c r="X84" s="20" t="s">
        <v>1378</v>
      </c>
      <c r="Y84" s="20" t="s">
        <v>123</v>
      </c>
      <c r="Z84" s="20" t="s">
        <v>149</v>
      </c>
      <c r="AA84" s="20"/>
      <c r="AB84" s="20"/>
      <c r="AC84" s="20"/>
      <c r="AD84" s="20"/>
      <c r="AE84" s="20"/>
      <c r="AF84" s="20"/>
      <c r="AG84" s="20" t="s">
        <v>216</v>
      </c>
      <c r="AH84" s="20" t="s">
        <v>129</v>
      </c>
      <c r="AI84" s="20"/>
    </row>
    <row r="85" customFormat="false" ht="219.75" hidden="false" customHeight="true" outlineLevel="0" collapsed="false">
      <c r="A85" s="17" t="n">
        <v>81</v>
      </c>
      <c r="B85" s="18" t="n">
        <v>46440</v>
      </c>
      <c r="C85" s="17" t="s">
        <v>102</v>
      </c>
      <c r="D85" s="17" t="n">
        <v>17</v>
      </c>
      <c r="E85" s="17" t="s">
        <v>1146</v>
      </c>
      <c r="F85" s="17" t="s">
        <v>1147</v>
      </c>
      <c r="G85" s="17" t="s">
        <v>105</v>
      </c>
      <c r="H85" s="17" t="s">
        <v>106</v>
      </c>
      <c r="I85" s="17" t="s">
        <v>107</v>
      </c>
      <c r="J85" s="17" t="s">
        <v>108</v>
      </c>
      <c r="K85" s="17" t="s">
        <v>1379</v>
      </c>
      <c r="L85" s="17" t="s">
        <v>1380</v>
      </c>
      <c r="M85" s="17" t="s">
        <v>1381</v>
      </c>
      <c r="N85" s="17" t="s">
        <v>1382</v>
      </c>
      <c r="O85" s="17" t="s">
        <v>1383</v>
      </c>
      <c r="P85" s="17" t="s">
        <v>1384</v>
      </c>
      <c r="Q85" s="17" t="s">
        <v>1385</v>
      </c>
      <c r="R85" s="17" t="s">
        <v>1386</v>
      </c>
      <c r="S85" s="17" t="s">
        <v>1387</v>
      </c>
      <c r="T85" s="17" t="s">
        <v>1388</v>
      </c>
      <c r="U85" s="17" t="s">
        <v>1389</v>
      </c>
      <c r="V85" s="19" t="s">
        <v>1390</v>
      </c>
      <c r="W85" s="17" t="s">
        <v>1391</v>
      </c>
      <c r="X85" s="17" t="s">
        <v>1392</v>
      </c>
      <c r="Y85" s="17" t="s">
        <v>123</v>
      </c>
      <c r="Z85" s="17" t="s">
        <v>124</v>
      </c>
      <c r="AA85" s="17"/>
      <c r="AB85" s="17"/>
      <c r="AC85" s="17"/>
      <c r="AD85" s="17" t="s">
        <v>125</v>
      </c>
      <c r="AE85" s="17" t="s">
        <v>1393</v>
      </c>
      <c r="AF85" s="17" t="s">
        <v>1394</v>
      </c>
      <c r="AG85" s="17" t="s">
        <v>128</v>
      </c>
      <c r="AH85" s="17" t="s">
        <v>129</v>
      </c>
      <c r="AI85" s="17"/>
    </row>
    <row r="86" customFormat="false" ht="219.75" hidden="false" customHeight="true" outlineLevel="0" collapsed="false">
      <c r="A86" s="20" t="n">
        <v>82</v>
      </c>
      <c r="B86" s="21" t="n">
        <v>46441</v>
      </c>
      <c r="C86" s="20" t="s">
        <v>130</v>
      </c>
      <c r="D86" s="20" t="n">
        <v>17</v>
      </c>
      <c r="E86" s="20" t="s">
        <v>1146</v>
      </c>
      <c r="F86" s="20" t="s">
        <v>1147</v>
      </c>
      <c r="G86" s="20" t="s">
        <v>131</v>
      </c>
      <c r="H86" s="20" t="s">
        <v>132</v>
      </c>
      <c r="I86" s="20" t="s">
        <v>133</v>
      </c>
      <c r="J86" s="20" t="s">
        <v>134</v>
      </c>
      <c r="K86" s="20" t="s">
        <v>1395</v>
      </c>
      <c r="L86" s="20" t="s">
        <v>1396</v>
      </c>
      <c r="M86" s="20" t="s">
        <v>1397</v>
      </c>
      <c r="N86" s="20" t="s">
        <v>1398</v>
      </c>
      <c r="O86" s="20" t="s">
        <v>1399</v>
      </c>
      <c r="P86" s="20" t="s">
        <v>1400</v>
      </c>
      <c r="Q86" s="20" t="s">
        <v>1401</v>
      </c>
      <c r="R86" s="20" t="s">
        <v>1402</v>
      </c>
      <c r="S86" s="20" t="s">
        <v>1403</v>
      </c>
      <c r="T86" s="20" t="s">
        <v>1404</v>
      </c>
      <c r="U86" s="20" t="s">
        <v>1405</v>
      </c>
      <c r="V86" s="22" t="s">
        <v>1406</v>
      </c>
      <c r="W86" s="20" t="s">
        <v>1407</v>
      </c>
      <c r="X86" s="20" t="s">
        <v>1408</v>
      </c>
      <c r="Y86" s="20" t="s">
        <v>123</v>
      </c>
      <c r="Z86" s="20" t="s">
        <v>149</v>
      </c>
      <c r="AA86" s="20"/>
      <c r="AB86" s="20"/>
      <c r="AC86" s="20"/>
      <c r="AD86" s="20"/>
      <c r="AE86" s="20"/>
      <c r="AF86" s="20"/>
      <c r="AG86" s="20" t="s">
        <v>150</v>
      </c>
      <c r="AH86" s="20" t="s">
        <v>129</v>
      </c>
      <c r="AI86" s="20"/>
    </row>
    <row r="87" customFormat="false" ht="219.75" hidden="false" customHeight="true" outlineLevel="0" collapsed="false">
      <c r="A87" s="23" t="n">
        <v>83</v>
      </c>
      <c r="B87" s="24" t="n">
        <v>46442</v>
      </c>
      <c r="C87" s="23" t="s">
        <v>151</v>
      </c>
      <c r="D87" s="23" t="n">
        <v>17</v>
      </c>
      <c r="E87" s="23" t="s">
        <v>1146</v>
      </c>
      <c r="F87" s="23" t="s">
        <v>1147</v>
      </c>
      <c r="G87" s="23" t="s">
        <v>152</v>
      </c>
      <c r="H87" s="23" t="s">
        <v>153</v>
      </c>
      <c r="I87" s="23" t="s">
        <v>154</v>
      </c>
      <c r="J87" s="23" t="s">
        <v>155</v>
      </c>
      <c r="K87" s="23" t="s">
        <v>1409</v>
      </c>
      <c r="L87" s="23" t="s">
        <v>1410</v>
      </c>
      <c r="M87" s="23" t="s">
        <v>1411</v>
      </c>
      <c r="N87" s="23" t="s">
        <v>1412</v>
      </c>
      <c r="O87" s="23" t="s">
        <v>1413</v>
      </c>
      <c r="P87" s="23" t="s">
        <v>1414</v>
      </c>
      <c r="Q87" s="23" t="s">
        <v>1415</v>
      </c>
      <c r="R87" s="23" t="s">
        <v>1416</v>
      </c>
      <c r="S87" s="23" t="s">
        <v>1417</v>
      </c>
      <c r="T87" s="23" t="s">
        <v>165</v>
      </c>
      <c r="U87" s="23" t="s">
        <v>1418</v>
      </c>
      <c r="V87" s="25" t="s">
        <v>1419</v>
      </c>
      <c r="W87" s="23" t="s">
        <v>1420</v>
      </c>
      <c r="X87" s="23" t="s">
        <v>1421</v>
      </c>
      <c r="Y87" s="23" t="s">
        <v>170</v>
      </c>
      <c r="Z87" s="23" t="s">
        <v>171</v>
      </c>
      <c r="AA87" s="23" t="s">
        <v>1422</v>
      </c>
      <c r="AB87" s="23" t="s">
        <v>1423</v>
      </c>
      <c r="AC87" s="23" t="s">
        <v>1424</v>
      </c>
      <c r="AD87" s="23"/>
      <c r="AE87" s="23"/>
      <c r="AF87" s="23"/>
      <c r="AG87" s="23" t="s">
        <v>175</v>
      </c>
      <c r="AH87" s="23" t="s">
        <v>129</v>
      </c>
      <c r="AI87" s="23"/>
    </row>
    <row r="88" customFormat="false" ht="219.75" hidden="false" customHeight="true" outlineLevel="0" collapsed="false">
      <c r="A88" s="26" t="n">
        <v>84</v>
      </c>
      <c r="B88" s="27" t="n">
        <v>46443</v>
      </c>
      <c r="C88" s="26" t="s">
        <v>176</v>
      </c>
      <c r="D88" s="26" t="n">
        <v>17</v>
      </c>
      <c r="E88" s="26" t="s">
        <v>1146</v>
      </c>
      <c r="F88" s="26" t="s">
        <v>1147</v>
      </c>
      <c r="G88" s="26" t="s">
        <v>177</v>
      </c>
      <c r="H88" s="26" t="s">
        <v>178</v>
      </c>
      <c r="I88" s="26" t="s">
        <v>179</v>
      </c>
      <c r="J88" s="26" t="s">
        <v>180</v>
      </c>
      <c r="K88" s="26" t="s">
        <v>1425</v>
      </c>
      <c r="L88" s="26" t="s">
        <v>1426</v>
      </c>
      <c r="M88" s="26" t="s">
        <v>1427</v>
      </c>
      <c r="N88" s="26" t="s">
        <v>1428</v>
      </c>
      <c r="O88" s="26" t="s">
        <v>1429</v>
      </c>
      <c r="P88" s="26" t="s">
        <v>1430</v>
      </c>
      <c r="Q88" s="26" t="s">
        <v>1431</v>
      </c>
      <c r="R88" s="26" t="s">
        <v>1432</v>
      </c>
      <c r="S88" s="26" t="s">
        <v>1433</v>
      </c>
      <c r="T88" s="26" t="s">
        <v>1434</v>
      </c>
      <c r="U88" s="26" t="s">
        <v>1435</v>
      </c>
      <c r="V88" s="28" t="s">
        <v>1436</v>
      </c>
      <c r="W88" s="26" t="s">
        <v>1437</v>
      </c>
      <c r="X88" s="26" t="s">
        <v>1438</v>
      </c>
      <c r="Y88" s="26" t="s">
        <v>195</v>
      </c>
      <c r="Z88" s="26" t="s">
        <v>196</v>
      </c>
      <c r="AA88" s="26" t="s">
        <v>1439</v>
      </c>
      <c r="AB88" s="26" t="s">
        <v>1440</v>
      </c>
      <c r="AC88" s="26" t="s">
        <v>1441</v>
      </c>
      <c r="AD88" s="26"/>
      <c r="AE88" s="26"/>
      <c r="AF88" s="26"/>
      <c r="AG88" s="26" t="s">
        <v>150</v>
      </c>
      <c r="AH88" s="26" t="s">
        <v>129</v>
      </c>
      <c r="AI88" s="26"/>
    </row>
    <row r="89" customFormat="false" ht="219.75" hidden="false" customHeight="true" outlineLevel="0" collapsed="false">
      <c r="A89" s="20" t="n">
        <v>85</v>
      </c>
      <c r="B89" s="21" t="n">
        <v>46444</v>
      </c>
      <c r="C89" s="20" t="s">
        <v>200</v>
      </c>
      <c r="D89" s="20" t="n">
        <v>17</v>
      </c>
      <c r="E89" s="20" t="s">
        <v>1146</v>
      </c>
      <c r="F89" s="20" t="s">
        <v>1147</v>
      </c>
      <c r="G89" s="20" t="s">
        <v>201</v>
      </c>
      <c r="H89" s="20" t="s">
        <v>132</v>
      </c>
      <c r="I89" s="20" t="s">
        <v>133</v>
      </c>
      <c r="J89" s="20" t="s">
        <v>134</v>
      </c>
      <c r="K89" s="20" t="s">
        <v>1442</v>
      </c>
      <c r="L89" s="20" t="s">
        <v>1443</v>
      </c>
      <c r="M89" s="20" t="s">
        <v>1444</v>
      </c>
      <c r="N89" s="20" t="s">
        <v>1445</v>
      </c>
      <c r="O89" s="20" t="s">
        <v>1446</v>
      </c>
      <c r="P89" s="20" t="s">
        <v>1447</v>
      </c>
      <c r="Q89" s="20" t="s">
        <v>1448</v>
      </c>
      <c r="R89" s="20" t="s">
        <v>1449</v>
      </c>
      <c r="S89" s="20" t="s">
        <v>1450</v>
      </c>
      <c r="T89" s="20" t="s">
        <v>1451</v>
      </c>
      <c r="U89" s="20" t="s">
        <v>1452</v>
      </c>
      <c r="V89" s="22" t="s">
        <v>1453</v>
      </c>
      <c r="W89" s="20" t="s">
        <v>1454</v>
      </c>
      <c r="X89" s="20" t="s">
        <v>1455</v>
      </c>
      <c r="Y89" s="20" t="s">
        <v>123</v>
      </c>
      <c r="Z89" s="20" t="s">
        <v>149</v>
      </c>
      <c r="AA89" s="20"/>
      <c r="AB89" s="20"/>
      <c r="AC89" s="20"/>
      <c r="AD89" s="20"/>
      <c r="AE89" s="20"/>
      <c r="AF89" s="20"/>
      <c r="AG89" s="20" t="s">
        <v>216</v>
      </c>
      <c r="AH89" s="20" t="s">
        <v>129</v>
      </c>
      <c r="AI89" s="20"/>
    </row>
    <row r="90" customFormat="false" ht="219.75" hidden="false" customHeight="true" outlineLevel="0" collapsed="false">
      <c r="A90" s="17" t="n">
        <v>86</v>
      </c>
      <c r="B90" s="18" t="n">
        <v>46447</v>
      </c>
      <c r="C90" s="17" t="s">
        <v>102</v>
      </c>
      <c r="D90" s="17" t="n">
        <v>18</v>
      </c>
      <c r="E90" s="17" t="s">
        <v>1456</v>
      </c>
      <c r="F90" s="17" t="s">
        <v>1457</v>
      </c>
      <c r="G90" s="17" t="s">
        <v>105</v>
      </c>
      <c r="H90" s="17" t="s">
        <v>106</v>
      </c>
      <c r="I90" s="17" t="s">
        <v>107</v>
      </c>
      <c r="J90" s="17" t="s">
        <v>108</v>
      </c>
      <c r="K90" s="17" t="s">
        <v>1458</v>
      </c>
      <c r="L90" s="17" t="s">
        <v>1459</v>
      </c>
      <c r="M90" s="17" t="s">
        <v>1460</v>
      </c>
      <c r="N90" s="17" t="s">
        <v>1461</v>
      </c>
      <c r="O90" s="17" t="s">
        <v>1462</v>
      </c>
      <c r="P90" s="17" t="s">
        <v>1463</v>
      </c>
      <c r="Q90" s="17" t="s">
        <v>1464</v>
      </c>
      <c r="R90" s="17" t="s">
        <v>1465</v>
      </c>
      <c r="S90" s="17" t="s">
        <v>1466</v>
      </c>
      <c r="T90" s="17" t="s">
        <v>1467</v>
      </c>
      <c r="U90" s="17" t="s">
        <v>1468</v>
      </c>
      <c r="V90" s="19" t="s">
        <v>1469</v>
      </c>
      <c r="W90" s="17" t="s">
        <v>1470</v>
      </c>
      <c r="X90" s="17" t="s">
        <v>1471</v>
      </c>
      <c r="Y90" s="17" t="s">
        <v>123</v>
      </c>
      <c r="Z90" s="17" t="s">
        <v>124</v>
      </c>
      <c r="AA90" s="17"/>
      <c r="AB90" s="17"/>
      <c r="AC90" s="17"/>
      <c r="AD90" s="17" t="s">
        <v>125</v>
      </c>
      <c r="AE90" s="17" t="s">
        <v>1472</v>
      </c>
      <c r="AF90" s="17" t="s">
        <v>1473</v>
      </c>
      <c r="AG90" s="17" t="s">
        <v>128</v>
      </c>
      <c r="AH90" s="17" t="s">
        <v>129</v>
      </c>
      <c r="AI90" s="17"/>
    </row>
    <row r="91" customFormat="false" ht="219.75" hidden="false" customHeight="true" outlineLevel="0" collapsed="false">
      <c r="A91" s="20" t="n">
        <v>87</v>
      </c>
      <c r="B91" s="21" t="n">
        <v>46448</v>
      </c>
      <c r="C91" s="20" t="s">
        <v>130</v>
      </c>
      <c r="D91" s="20" t="n">
        <v>18</v>
      </c>
      <c r="E91" s="20" t="s">
        <v>1456</v>
      </c>
      <c r="F91" s="20" t="s">
        <v>1457</v>
      </c>
      <c r="G91" s="20" t="s">
        <v>131</v>
      </c>
      <c r="H91" s="20" t="s">
        <v>132</v>
      </c>
      <c r="I91" s="20" t="s">
        <v>133</v>
      </c>
      <c r="J91" s="20" t="s">
        <v>134</v>
      </c>
      <c r="K91" s="20" t="s">
        <v>1474</v>
      </c>
      <c r="L91" s="20" t="s">
        <v>1475</v>
      </c>
      <c r="M91" s="20" t="s">
        <v>1476</v>
      </c>
      <c r="N91" s="20" t="s">
        <v>1477</v>
      </c>
      <c r="O91" s="20" t="s">
        <v>1478</v>
      </c>
      <c r="P91" s="20" t="s">
        <v>1479</v>
      </c>
      <c r="Q91" s="20" t="s">
        <v>1480</v>
      </c>
      <c r="R91" s="20" t="s">
        <v>1481</v>
      </c>
      <c r="S91" s="20" t="s">
        <v>1482</v>
      </c>
      <c r="T91" s="20" t="s">
        <v>1483</v>
      </c>
      <c r="U91" s="20" t="s">
        <v>1484</v>
      </c>
      <c r="V91" s="22" t="s">
        <v>1485</v>
      </c>
      <c r="W91" s="20" t="s">
        <v>1486</v>
      </c>
      <c r="X91" s="20" t="s">
        <v>1487</v>
      </c>
      <c r="Y91" s="20" t="s">
        <v>123</v>
      </c>
      <c r="Z91" s="20" t="s">
        <v>149</v>
      </c>
      <c r="AA91" s="20"/>
      <c r="AB91" s="20"/>
      <c r="AC91" s="20"/>
      <c r="AD91" s="20"/>
      <c r="AE91" s="20"/>
      <c r="AF91" s="20"/>
      <c r="AG91" s="20" t="s">
        <v>150</v>
      </c>
      <c r="AH91" s="20" t="s">
        <v>129</v>
      </c>
      <c r="AI91" s="20"/>
    </row>
    <row r="92" customFormat="false" ht="219.75" hidden="false" customHeight="true" outlineLevel="0" collapsed="false">
      <c r="A92" s="23" t="n">
        <v>88</v>
      </c>
      <c r="B92" s="24" t="n">
        <v>46449</v>
      </c>
      <c r="C92" s="23" t="s">
        <v>151</v>
      </c>
      <c r="D92" s="23" t="n">
        <v>18</v>
      </c>
      <c r="E92" s="23" t="s">
        <v>1456</v>
      </c>
      <c r="F92" s="23" t="s">
        <v>1457</v>
      </c>
      <c r="G92" s="23" t="s">
        <v>152</v>
      </c>
      <c r="H92" s="23" t="s">
        <v>153</v>
      </c>
      <c r="I92" s="23" t="s">
        <v>154</v>
      </c>
      <c r="J92" s="23" t="s">
        <v>155</v>
      </c>
      <c r="K92" s="23" t="s">
        <v>1488</v>
      </c>
      <c r="L92" s="23" t="s">
        <v>1489</v>
      </c>
      <c r="M92" s="23" t="s">
        <v>1490</v>
      </c>
      <c r="N92" s="23" t="s">
        <v>1491</v>
      </c>
      <c r="O92" s="23" t="s">
        <v>1492</v>
      </c>
      <c r="P92" s="23" t="s">
        <v>1493</v>
      </c>
      <c r="Q92" s="23" t="s">
        <v>1494</v>
      </c>
      <c r="R92" s="23" t="s">
        <v>1495</v>
      </c>
      <c r="S92" s="23" t="s">
        <v>1496</v>
      </c>
      <c r="T92" s="23" t="s">
        <v>165</v>
      </c>
      <c r="U92" s="23" t="s">
        <v>1497</v>
      </c>
      <c r="V92" s="25" t="s">
        <v>1498</v>
      </c>
      <c r="W92" s="23" t="s">
        <v>1499</v>
      </c>
      <c r="X92" s="23" t="s">
        <v>1500</v>
      </c>
      <c r="Y92" s="23" t="s">
        <v>170</v>
      </c>
      <c r="Z92" s="23" t="s">
        <v>171</v>
      </c>
      <c r="AA92" s="23" t="s">
        <v>1501</v>
      </c>
      <c r="AB92" s="23" t="s">
        <v>1502</v>
      </c>
      <c r="AC92" s="23" t="s">
        <v>1503</v>
      </c>
      <c r="AD92" s="23"/>
      <c r="AE92" s="23"/>
      <c r="AF92" s="23"/>
      <c r="AG92" s="23" t="s">
        <v>175</v>
      </c>
      <c r="AH92" s="23" t="s">
        <v>129</v>
      </c>
      <c r="AI92" s="23"/>
    </row>
    <row r="93" customFormat="false" ht="219.75" hidden="false" customHeight="true" outlineLevel="0" collapsed="false">
      <c r="A93" s="26" t="n">
        <v>89</v>
      </c>
      <c r="B93" s="27" t="n">
        <v>46450</v>
      </c>
      <c r="C93" s="26" t="s">
        <v>176</v>
      </c>
      <c r="D93" s="26" t="n">
        <v>18</v>
      </c>
      <c r="E93" s="26" t="s">
        <v>1456</v>
      </c>
      <c r="F93" s="26" t="s">
        <v>1457</v>
      </c>
      <c r="G93" s="26" t="s">
        <v>177</v>
      </c>
      <c r="H93" s="26" t="s">
        <v>178</v>
      </c>
      <c r="I93" s="26" t="s">
        <v>179</v>
      </c>
      <c r="J93" s="26" t="s">
        <v>180</v>
      </c>
      <c r="K93" s="26" t="s">
        <v>1504</v>
      </c>
      <c r="L93" s="26" t="s">
        <v>1505</v>
      </c>
      <c r="M93" s="26" t="s">
        <v>1506</v>
      </c>
      <c r="N93" s="26" t="s">
        <v>1507</v>
      </c>
      <c r="O93" s="26" t="s">
        <v>1508</v>
      </c>
      <c r="P93" s="26" t="s">
        <v>1509</v>
      </c>
      <c r="Q93" s="26" t="s">
        <v>1510</v>
      </c>
      <c r="R93" s="26" t="s">
        <v>1511</v>
      </c>
      <c r="S93" s="26" t="s">
        <v>1512</v>
      </c>
      <c r="T93" s="26" t="s">
        <v>1513</v>
      </c>
      <c r="U93" s="26" t="s">
        <v>1514</v>
      </c>
      <c r="V93" s="28" t="s">
        <v>1515</v>
      </c>
      <c r="W93" s="26" t="s">
        <v>1516</v>
      </c>
      <c r="X93" s="26" t="s">
        <v>1517</v>
      </c>
      <c r="Y93" s="26" t="s">
        <v>195</v>
      </c>
      <c r="Z93" s="26" t="s">
        <v>196</v>
      </c>
      <c r="AA93" s="26" t="s">
        <v>1518</v>
      </c>
      <c r="AB93" s="26" t="s">
        <v>1519</v>
      </c>
      <c r="AC93" s="26" t="s">
        <v>1520</v>
      </c>
      <c r="AD93" s="26"/>
      <c r="AE93" s="26"/>
      <c r="AF93" s="26"/>
      <c r="AG93" s="26" t="s">
        <v>150</v>
      </c>
      <c r="AH93" s="26" t="s">
        <v>129</v>
      </c>
      <c r="AI93" s="26"/>
    </row>
    <row r="94" customFormat="false" ht="219.75" hidden="false" customHeight="true" outlineLevel="0" collapsed="false">
      <c r="A94" s="20" t="n">
        <v>90</v>
      </c>
      <c r="B94" s="21" t="n">
        <v>46451</v>
      </c>
      <c r="C94" s="20" t="s">
        <v>200</v>
      </c>
      <c r="D94" s="20" t="n">
        <v>18</v>
      </c>
      <c r="E94" s="20" t="s">
        <v>1456</v>
      </c>
      <c r="F94" s="20" t="s">
        <v>1457</v>
      </c>
      <c r="G94" s="20" t="s">
        <v>201</v>
      </c>
      <c r="H94" s="20" t="s">
        <v>132</v>
      </c>
      <c r="I94" s="20" t="s">
        <v>133</v>
      </c>
      <c r="J94" s="20" t="s">
        <v>134</v>
      </c>
      <c r="K94" s="20" t="s">
        <v>1521</v>
      </c>
      <c r="L94" s="20" t="s">
        <v>1522</v>
      </c>
      <c r="M94" s="20" t="s">
        <v>1523</v>
      </c>
      <c r="N94" s="20" t="s">
        <v>1524</v>
      </c>
      <c r="O94" s="20" t="s">
        <v>1525</v>
      </c>
      <c r="P94" s="20" t="s">
        <v>1526</v>
      </c>
      <c r="Q94" s="20" t="s">
        <v>1527</v>
      </c>
      <c r="R94" s="20" t="s">
        <v>1528</v>
      </c>
      <c r="S94" s="20" t="s">
        <v>1529</v>
      </c>
      <c r="T94" s="20" t="s">
        <v>1530</v>
      </c>
      <c r="U94" s="20" t="s">
        <v>1531</v>
      </c>
      <c r="V94" s="22" t="s">
        <v>1532</v>
      </c>
      <c r="W94" s="20" t="s">
        <v>1533</v>
      </c>
      <c r="X94" s="20" t="s">
        <v>1534</v>
      </c>
      <c r="Y94" s="20" t="s">
        <v>123</v>
      </c>
      <c r="Z94" s="20" t="s">
        <v>149</v>
      </c>
      <c r="AA94" s="20"/>
      <c r="AB94" s="20"/>
      <c r="AC94" s="20"/>
      <c r="AD94" s="20"/>
      <c r="AE94" s="20"/>
      <c r="AF94" s="20"/>
      <c r="AG94" s="20" t="s">
        <v>216</v>
      </c>
      <c r="AH94" s="20" t="s">
        <v>129</v>
      </c>
      <c r="AI94" s="20"/>
    </row>
    <row r="95" customFormat="false" ht="219.75" hidden="false" customHeight="true" outlineLevel="0" collapsed="false">
      <c r="A95" s="17" t="n">
        <v>91</v>
      </c>
      <c r="B95" s="18" t="n">
        <v>46454</v>
      </c>
      <c r="C95" s="17" t="s">
        <v>102</v>
      </c>
      <c r="D95" s="17" t="n">
        <v>19</v>
      </c>
      <c r="E95" s="17" t="s">
        <v>1456</v>
      </c>
      <c r="F95" s="17" t="s">
        <v>1457</v>
      </c>
      <c r="G95" s="17" t="s">
        <v>105</v>
      </c>
      <c r="H95" s="17" t="s">
        <v>106</v>
      </c>
      <c r="I95" s="17" t="s">
        <v>107</v>
      </c>
      <c r="J95" s="17" t="s">
        <v>108</v>
      </c>
      <c r="K95" s="17" t="s">
        <v>1535</v>
      </c>
      <c r="L95" s="17" t="s">
        <v>1536</v>
      </c>
      <c r="M95" s="17" t="s">
        <v>1537</v>
      </c>
      <c r="N95" s="17" t="s">
        <v>1538</v>
      </c>
      <c r="O95" s="17" t="s">
        <v>1539</v>
      </c>
      <c r="P95" s="17" t="s">
        <v>1540</v>
      </c>
      <c r="Q95" s="17" t="s">
        <v>1541</v>
      </c>
      <c r="R95" s="17" t="s">
        <v>1542</v>
      </c>
      <c r="S95" s="17" t="s">
        <v>1543</v>
      </c>
      <c r="T95" s="17" t="s">
        <v>1544</v>
      </c>
      <c r="U95" s="17" t="s">
        <v>1545</v>
      </c>
      <c r="V95" s="19" t="s">
        <v>1546</v>
      </c>
      <c r="W95" s="17" t="s">
        <v>1547</v>
      </c>
      <c r="X95" s="17" t="s">
        <v>1548</v>
      </c>
      <c r="Y95" s="17" t="s">
        <v>123</v>
      </c>
      <c r="Z95" s="17" t="s">
        <v>124</v>
      </c>
      <c r="AA95" s="17"/>
      <c r="AB95" s="17"/>
      <c r="AC95" s="17"/>
      <c r="AD95" s="17" t="s">
        <v>1549</v>
      </c>
      <c r="AE95" s="17" t="s">
        <v>1550</v>
      </c>
      <c r="AF95" s="17" t="s">
        <v>1551</v>
      </c>
      <c r="AG95" s="17" t="s">
        <v>128</v>
      </c>
      <c r="AH95" s="17" t="s">
        <v>129</v>
      </c>
      <c r="AI95" s="17"/>
    </row>
    <row r="96" customFormat="false" ht="219.75" hidden="false" customHeight="true" outlineLevel="0" collapsed="false">
      <c r="A96" s="20" t="n">
        <v>92</v>
      </c>
      <c r="B96" s="21" t="n">
        <v>46455</v>
      </c>
      <c r="C96" s="20" t="s">
        <v>130</v>
      </c>
      <c r="D96" s="20" t="n">
        <v>19</v>
      </c>
      <c r="E96" s="20" t="s">
        <v>1456</v>
      </c>
      <c r="F96" s="20" t="s">
        <v>1457</v>
      </c>
      <c r="G96" s="20" t="s">
        <v>131</v>
      </c>
      <c r="H96" s="20" t="s">
        <v>132</v>
      </c>
      <c r="I96" s="20" t="s">
        <v>133</v>
      </c>
      <c r="J96" s="20" t="s">
        <v>134</v>
      </c>
      <c r="K96" s="20" t="s">
        <v>1552</v>
      </c>
      <c r="L96" s="20" t="s">
        <v>1553</v>
      </c>
      <c r="M96" s="20" t="s">
        <v>1554</v>
      </c>
      <c r="N96" s="20" t="s">
        <v>1555</v>
      </c>
      <c r="O96" s="20" t="s">
        <v>1556</v>
      </c>
      <c r="P96" s="20" t="s">
        <v>1557</v>
      </c>
      <c r="Q96" s="20" t="s">
        <v>1558</v>
      </c>
      <c r="R96" s="20" t="s">
        <v>1559</v>
      </c>
      <c r="S96" s="20" t="s">
        <v>1560</v>
      </c>
      <c r="T96" s="20" t="s">
        <v>1561</v>
      </c>
      <c r="U96" s="20" t="s">
        <v>1562</v>
      </c>
      <c r="V96" s="22" t="s">
        <v>1563</v>
      </c>
      <c r="W96" s="20" t="s">
        <v>1564</v>
      </c>
      <c r="X96" s="20" t="s">
        <v>1565</v>
      </c>
      <c r="Y96" s="20" t="s">
        <v>123</v>
      </c>
      <c r="Z96" s="20" t="s">
        <v>149</v>
      </c>
      <c r="AA96" s="20"/>
      <c r="AB96" s="20"/>
      <c r="AC96" s="20"/>
      <c r="AD96" s="20"/>
      <c r="AE96" s="20"/>
      <c r="AF96" s="20"/>
      <c r="AG96" s="20" t="s">
        <v>150</v>
      </c>
      <c r="AH96" s="20" t="s">
        <v>129</v>
      </c>
      <c r="AI96" s="20"/>
    </row>
    <row r="97" customFormat="false" ht="219.75" hidden="false" customHeight="true" outlineLevel="0" collapsed="false">
      <c r="A97" s="23" t="n">
        <v>93</v>
      </c>
      <c r="B97" s="24" t="n">
        <v>46456</v>
      </c>
      <c r="C97" s="23" t="s">
        <v>151</v>
      </c>
      <c r="D97" s="23" t="n">
        <v>19</v>
      </c>
      <c r="E97" s="23" t="s">
        <v>1456</v>
      </c>
      <c r="F97" s="23" t="s">
        <v>1457</v>
      </c>
      <c r="G97" s="23" t="s">
        <v>152</v>
      </c>
      <c r="H97" s="23" t="s">
        <v>153</v>
      </c>
      <c r="I97" s="23" t="s">
        <v>154</v>
      </c>
      <c r="J97" s="23" t="s">
        <v>155</v>
      </c>
      <c r="K97" s="23" t="s">
        <v>1566</v>
      </c>
      <c r="L97" s="23" t="s">
        <v>1567</v>
      </c>
      <c r="M97" s="23" t="s">
        <v>1568</v>
      </c>
      <c r="N97" s="23" t="s">
        <v>1569</v>
      </c>
      <c r="O97" s="23" t="s">
        <v>1570</v>
      </c>
      <c r="P97" s="23" t="s">
        <v>1571</v>
      </c>
      <c r="Q97" s="23" t="s">
        <v>1572</v>
      </c>
      <c r="R97" s="23" t="s">
        <v>1573</v>
      </c>
      <c r="S97" s="23" t="s">
        <v>1574</v>
      </c>
      <c r="T97" s="23" t="s">
        <v>165</v>
      </c>
      <c r="U97" s="23" t="s">
        <v>1575</v>
      </c>
      <c r="V97" s="25" t="s">
        <v>1576</v>
      </c>
      <c r="W97" s="23" t="s">
        <v>1577</v>
      </c>
      <c r="X97" s="23" t="s">
        <v>1578</v>
      </c>
      <c r="Y97" s="23" t="s">
        <v>170</v>
      </c>
      <c r="Z97" s="23" t="s">
        <v>171</v>
      </c>
      <c r="AA97" s="23" t="s">
        <v>1579</v>
      </c>
      <c r="AB97" s="23" t="s">
        <v>1580</v>
      </c>
      <c r="AC97" s="23" t="s">
        <v>1581</v>
      </c>
      <c r="AD97" s="23"/>
      <c r="AE97" s="23"/>
      <c r="AF97" s="23"/>
      <c r="AG97" s="23" t="s">
        <v>175</v>
      </c>
      <c r="AH97" s="23" t="s">
        <v>129</v>
      </c>
      <c r="AI97" s="23"/>
    </row>
    <row r="98" customFormat="false" ht="219.75" hidden="false" customHeight="true" outlineLevel="0" collapsed="false">
      <c r="A98" s="26" t="n">
        <v>94</v>
      </c>
      <c r="B98" s="27" t="n">
        <v>46457</v>
      </c>
      <c r="C98" s="26" t="s">
        <v>176</v>
      </c>
      <c r="D98" s="26" t="n">
        <v>19</v>
      </c>
      <c r="E98" s="26" t="s">
        <v>1456</v>
      </c>
      <c r="F98" s="26" t="s">
        <v>1457</v>
      </c>
      <c r="G98" s="26" t="s">
        <v>177</v>
      </c>
      <c r="H98" s="26" t="s">
        <v>178</v>
      </c>
      <c r="I98" s="26" t="s">
        <v>179</v>
      </c>
      <c r="J98" s="26" t="s">
        <v>180</v>
      </c>
      <c r="K98" s="26" t="s">
        <v>1582</v>
      </c>
      <c r="L98" s="26" t="s">
        <v>1583</v>
      </c>
      <c r="M98" s="26" t="s">
        <v>1584</v>
      </c>
      <c r="N98" s="26" t="s">
        <v>1585</v>
      </c>
      <c r="O98" s="26" t="s">
        <v>1586</v>
      </c>
      <c r="P98" s="26" t="s">
        <v>1587</v>
      </c>
      <c r="Q98" s="26" t="s">
        <v>1588</v>
      </c>
      <c r="R98" s="26" t="s">
        <v>1589</v>
      </c>
      <c r="S98" s="26" t="s">
        <v>1590</v>
      </c>
      <c r="T98" s="26" t="s">
        <v>1591</v>
      </c>
      <c r="U98" s="26" t="s">
        <v>1592</v>
      </c>
      <c r="V98" s="28" t="s">
        <v>1593</v>
      </c>
      <c r="W98" s="26" t="s">
        <v>1594</v>
      </c>
      <c r="X98" s="26" t="s">
        <v>1595</v>
      </c>
      <c r="Y98" s="26" t="s">
        <v>195</v>
      </c>
      <c r="Z98" s="26" t="s">
        <v>196</v>
      </c>
      <c r="AA98" s="26" t="s">
        <v>1596</v>
      </c>
      <c r="AB98" s="26" t="s">
        <v>1597</v>
      </c>
      <c r="AC98" s="26" t="s">
        <v>1598</v>
      </c>
      <c r="AD98" s="26"/>
      <c r="AE98" s="26"/>
      <c r="AF98" s="26"/>
      <c r="AG98" s="26" t="s">
        <v>150</v>
      </c>
      <c r="AH98" s="26" t="s">
        <v>129</v>
      </c>
      <c r="AI98" s="26"/>
    </row>
    <row r="99" customFormat="false" ht="219.75" hidden="false" customHeight="true" outlineLevel="0" collapsed="false">
      <c r="A99" s="20" t="n">
        <v>95</v>
      </c>
      <c r="B99" s="21" t="n">
        <v>46458</v>
      </c>
      <c r="C99" s="20" t="s">
        <v>200</v>
      </c>
      <c r="D99" s="20" t="n">
        <v>19</v>
      </c>
      <c r="E99" s="20" t="s">
        <v>1456</v>
      </c>
      <c r="F99" s="20" t="s">
        <v>1457</v>
      </c>
      <c r="G99" s="20" t="s">
        <v>201</v>
      </c>
      <c r="H99" s="20" t="s">
        <v>132</v>
      </c>
      <c r="I99" s="20" t="s">
        <v>133</v>
      </c>
      <c r="J99" s="20" t="s">
        <v>134</v>
      </c>
      <c r="K99" s="20" t="s">
        <v>1599</v>
      </c>
      <c r="L99" s="20" t="s">
        <v>1600</v>
      </c>
      <c r="M99" s="20" t="s">
        <v>1601</v>
      </c>
      <c r="N99" s="20" t="s">
        <v>1602</v>
      </c>
      <c r="O99" s="20" t="s">
        <v>1603</v>
      </c>
      <c r="P99" s="20" t="s">
        <v>1604</v>
      </c>
      <c r="Q99" s="20" t="s">
        <v>1605</v>
      </c>
      <c r="R99" s="20" t="s">
        <v>1606</v>
      </c>
      <c r="S99" s="20" t="s">
        <v>1607</v>
      </c>
      <c r="T99" s="20" t="s">
        <v>1608</v>
      </c>
      <c r="U99" s="20" t="s">
        <v>1609</v>
      </c>
      <c r="V99" s="22" t="s">
        <v>1610</v>
      </c>
      <c r="W99" s="20" t="s">
        <v>1611</v>
      </c>
      <c r="X99" s="20" t="s">
        <v>1612</v>
      </c>
      <c r="Y99" s="20" t="s">
        <v>123</v>
      </c>
      <c r="Z99" s="20" t="s">
        <v>149</v>
      </c>
      <c r="AA99" s="20"/>
      <c r="AB99" s="20"/>
      <c r="AC99" s="20"/>
      <c r="AD99" s="20"/>
      <c r="AE99" s="20"/>
      <c r="AF99" s="20"/>
      <c r="AG99" s="20" t="s">
        <v>216</v>
      </c>
      <c r="AH99" s="20" t="s">
        <v>129</v>
      </c>
      <c r="AI99" s="20"/>
    </row>
    <row r="100" customFormat="false" ht="219.75" hidden="false" customHeight="true" outlineLevel="0" collapsed="false">
      <c r="A100" s="17" t="n">
        <v>96</v>
      </c>
      <c r="B100" s="18" t="n">
        <v>46461</v>
      </c>
      <c r="C100" s="17" t="s">
        <v>102</v>
      </c>
      <c r="D100" s="17" t="n">
        <v>20</v>
      </c>
      <c r="E100" s="17" t="s">
        <v>1456</v>
      </c>
      <c r="F100" s="17" t="s">
        <v>1457</v>
      </c>
      <c r="G100" s="17" t="s">
        <v>105</v>
      </c>
      <c r="H100" s="17" t="s">
        <v>106</v>
      </c>
      <c r="I100" s="17" t="s">
        <v>107</v>
      </c>
      <c r="J100" s="17" t="s">
        <v>108</v>
      </c>
      <c r="K100" s="17" t="s">
        <v>1613</v>
      </c>
      <c r="L100" s="17" t="s">
        <v>1614</v>
      </c>
      <c r="M100" s="17" t="s">
        <v>1615</v>
      </c>
      <c r="N100" s="17" t="s">
        <v>1616</v>
      </c>
      <c r="O100" s="17" t="s">
        <v>1617</v>
      </c>
      <c r="P100" s="17" t="s">
        <v>1618</v>
      </c>
      <c r="Q100" s="17" t="s">
        <v>1619</v>
      </c>
      <c r="R100" s="17" t="s">
        <v>1620</v>
      </c>
      <c r="S100" s="17" t="s">
        <v>1621</v>
      </c>
      <c r="T100" s="17" t="s">
        <v>1622</v>
      </c>
      <c r="U100" s="17" t="s">
        <v>1623</v>
      </c>
      <c r="V100" s="19" t="s">
        <v>1624</v>
      </c>
      <c r="W100" s="17" t="s">
        <v>1625</v>
      </c>
      <c r="X100" s="17" t="s">
        <v>1626</v>
      </c>
      <c r="Y100" s="17" t="s">
        <v>123</v>
      </c>
      <c r="Z100" s="17" t="s">
        <v>124</v>
      </c>
      <c r="AA100" s="17"/>
      <c r="AB100" s="17"/>
      <c r="AC100" s="17"/>
      <c r="AD100" s="17" t="s">
        <v>541</v>
      </c>
      <c r="AE100" s="17" t="s">
        <v>1627</v>
      </c>
      <c r="AF100" s="17" t="s">
        <v>1628</v>
      </c>
      <c r="AG100" s="17" t="s">
        <v>128</v>
      </c>
      <c r="AH100" s="17" t="s">
        <v>129</v>
      </c>
      <c r="AI100" s="17"/>
    </row>
    <row r="101" customFormat="false" ht="219.75" hidden="false" customHeight="true" outlineLevel="0" collapsed="false">
      <c r="A101" s="20" t="n">
        <v>97</v>
      </c>
      <c r="B101" s="21" t="n">
        <v>46462</v>
      </c>
      <c r="C101" s="20" t="s">
        <v>130</v>
      </c>
      <c r="D101" s="20" t="n">
        <v>20</v>
      </c>
      <c r="E101" s="20" t="s">
        <v>1456</v>
      </c>
      <c r="F101" s="20" t="s">
        <v>1457</v>
      </c>
      <c r="G101" s="20" t="s">
        <v>131</v>
      </c>
      <c r="H101" s="20" t="s">
        <v>132</v>
      </c>
      <c r="I101" s="20" t="s">
        <v>133</v>
      </c>
      <c r="J101" s="20" t="s">
        <v>134</v>
      </c>
      <c r="K101" s="20" t="s">
        <v>1629</v>
      </c>
      <c r="L101" s="20" t="s">
        <v>1630</v>
      </c>
      <c r="M101" s="20" t="s">
        <v>1631</v>
      </c>
      <c r="N101" s="20" t="s">
        <v>1632</v>
      </c>
      <c r="O101" s="20" t="s">
        <v>1633</v>
      </c>
      <c r="P101" s="20" t="s">
        <v>1634</v>
      </c>
      <c r="Q101" s="20" t="s">
        <v>1635</v>
      </c>
      <c r="R101" s="20" t="s">
        <v>1636</v>
      </c>
      <c r="S101" s="20" t="s">
        <v>1637</v>
      </c>
      <c r="T101" s="20" t="s">
        <v>1638</v>
      </c>
      <c r="U101" s="20" t="s">
        <v>1639</v>
      </c>
      <c r="V101" s="22" t="s">
        <v>1640</v>
      </c>
      <c r="W101" s="20" t="s">
        <v>1641</v>
      </c>
      <c r="X101" s="20" t="s">
        <v>1642</v>
      </c>
      <c r="Y101" s="20" t="s">
        <v>123</v>
      </c>
      <c r="Z101" s="20" t="s">
        <v>149</v>
      </c>
      <c r="AA101" s="20"/>
      <c r="AB101" s="20"/>
      <c r="AC101" s="20"/>
      <c r="AD101" s="20"/>
      <c r="AE101" s="20"/>
      <c r="AF101" s="20"/>
      <c r="AG101" s="20" t="s">
        <v>150</v>
      </c>
      <c r="AH101" s="20" t="s">
        <v>129</v>
      </c>
      <c r="AI101" s="20"/>
    </row>
    <row r="102" customFormat="false" ht="219.75" hidden="false" customHeight="true" outlineLevel="0" collapsed="false">
      <c r="A102" s="23" t="n">
        <v>98</v>
      </c>
      <c r="B102" s="24" t="n">
        <v>46463</v>
      </c>
      <c r="C102" s="23" t="s">
        <v>151</v>
      </c>
      <c r="D102" s="23" t="n">
        <v>20</v>
      </c>
      <c r="E102" s="23" t="s">
        <v>1456</v>
      </c>
      <c r="F102" s="23" t="s">
        <v>1457</v>
      </c>
      <c r="G102" s="23" t="s">
        <v>152</v>
      </c>
      <c r="H102" s="23" t="s">
        <v>153</v>
      </c>
      <c r="I102" s="23" t="s">
        <v>154</v>
      </c>
      <c r="J102" s="23" t="s">
        <v>155</v>
      </c>
      <c r="K102" s="23" t="s">
        <v>1643</v>
      </c>
      <c r="L102" s="23" t="s">
        <v>1644</v>
      </c>
      <c r="M102" s="23" t="s">
        <v>1645</v>
      </c>
      <c r="N102" s="23" t="s">
        <v>1646</v>
      </c>
      <c r="O102" s="23" t="s">
        <v>1647</v>
      </c>
      <c r="P102" s="23" t="s">
        <v>1648</v>
      </c>
      <c r="Q102" s="23" t="s">
        <v>1649</v>
      </c>
      <c r="R102" s="23" t="s">
        <v>1650</v>
      </c>
      <c r="S102" s="23" t="s">
        <v>1651</v>
      </c>
      <c r="T102" s="23" t="s">
        <v>165</v>
      </c>
      <c r="U102" s="23" t="s">
        <v>1652</v>
      </c>
      <c r="V102" s="25" t="s">
        <v>1653</v>
      </c>
      <c r="W102" s="23" t="s">
        <v>1654</v>
      </c>
      <c r="X102" s="23" t="s">
        <v>1655</v>
      </c>
      <c r="Y102" s="23" t="s">
        <v>170</v>
      </c>
      <c r="Z102" s="23" t="s">
        <v>171</v>
      </c>
      <c r="AA102" s="23" t="s">
        <v>1656</v>
      </c>
      <c r="AB102" s="23" t="s">
        <v>1657</v>
      </c>
      <c r="AC102" s="23" t="s">
        <v>1658</v>
      </c>
      <c r="AD102" s="23"/>
      <c r="AE102" s="23"/>
      <c r="AF102" s="23"/>
      <c r="AG102" s="23" t="s">
        <v>175</v>
      </c>
      <c r="AH102" s="23" t="s">
        <v>129</v>
      </c>
      <c r="AI102" s="23"/>
    </row>
    <row r="103" customFormat="false" ht="219.75" hidden="false" customHeight="true" outlineLevel="0" collapsed="false">
      <c r="A103" s="26" t="n">
        <v>99</v>
      </c>
      <c r="B103" s="27" t="n">
        <v>46464</v>
      </c>
      <c r="C103" s="26" t="s">
        <v>176</v>
      </c>
      <c r="D103" s="26" t="n">
        <v>20</v>
      </c>
      <c r="E103" s="26" t="s">
        <v>1456</v>
      </c>
      <c r="F103" s="26" t="s">
        <v>1457</v>
      </c>
      <c r="G103" s="26" t="s">
        <v>177</v>
      </c>
      <c r="H103" s="26" t="s">
        <v>178</v>
      </c>
      <c r="I103" s="26" t="s">
        <v>179</v>
      </c>
      <c r="J103" s="26" t="s">
        <v>180</v>
      </c>
      <c r="K103" s="26" t="s">
        <v>1659</v>
      </c>
      <c r="L103" s="26" t="s">
        <v>1660</v>
      </c>
      <c r="M103" s="26" t="s">
        <v>1661</v>
      </c>
      <c r="N103" s="26" t="s">
        <v>1662</v>
      </c>
      <c r="O103" s="26" t="s">
        <v>1663</v>
      </c>
      <c r="P103" s="26" t="s">
        <v>1664</v>
      </c>
      <c r="Q103" s="26" t="s">
        <v>1665</v>
      </c>
      <c r="R103" s="26" t="s">
        <v>1666</v>
      </c>
      <c r="S103" s="26" t="s">
        <v>1667</v>
      </c>
      <c r="T103" s="26" t="s">
        <v>1668</v>
      </c>
      <c r="U103" s="26" t="s">
        <v>1669</v>
      </c>
      <c r="V103" s="28" t="s">
        <v>1670</v>
      </c>
      <c r="W103" s="26" t="s">
        <v>1671</v>
      </c>
      <c r="X103" s="26" t="s">
        <v>1672</v>
      </c>
      <c r="Y103" s="26" t="s">
        <v>195</v>
      </c>
      <c r="Z103" s="26" t="s">
        <v>196</v>
      </c>
      <c r="AA103" s="26" t="s">
        <v>1673</v>
      </c>
      <c r="AB103" s="26" t="s">
        <v>1674</v>
      </c>
      <c r="AC103" s="26" t="s">
        <v>1675</v>
      </c>
      <c r="AD103" s="26"/>
      <c r="AE103" s="26"/>
      <c r="AF103" s="26"/>
      <c r="AG103" s="26" t="s">
        <v>150</v>
      </c>
      <c r="AH103" s="26" t="s">
        <v>129</v>
      </c>
      <c r="AI103" s="26"/>
    </row>
    <row r="104" customFormat="false" ht="219.75" hidden="false" customHeight="true" outlineLevel="0" collapsed="false">
      <c r="A104" s="20" t="n">
        <v>100</v>
      </c>
      <c r="B104" s="21" t="n">
        <v>46465</v>
      </c>
      <c r="C104" s="20" t="s">
        <v>200</v>
      </c>
      <c r="D104" s="20" t="n">
        <v>20</v>
      </c>
      <c r="E104" s="20" t="s">
        <v>1456</v>
      </c>
      <c r="F104" s="20" t="s">
        <v>1457</v>
      </c>
      <c r="G104" s="20" t="s">
        <v>201</v>
      </c>
      <c r="H104" s="20" t="s">
        <v>132</v>
      </c>
      <c r="I104" s="20" t="s">
        <v>133</v>
      </c>
      <c r="J104" s="20" t="s">
        <v>134</v>
      </c>
      <c r="K104" s="20" t="s">
        <v>1676</v>
      </c>
      <c r="L104" s="20" t="s">
        <v>1677</v>
      </c>
      <c r="M104" s="20" t="s">
        <v>1678</v>
      </c>
      <c r="N104" s="20" t="s">
        <v>1679</v>
      </c>
      <c r="O104" s="20" t="s">
        <v>1680</v>
      </c>
      <c r="P104" s="20" t="s">
        <v>1681</v>
      </c>
      <c r="Q104" s="20" t="s">
        <v>1682</v>
      </c>
      <c r="R104" s="20" t="s">
        <v>1683</v>
      </c>
      <c r="S104" s="20" t="s">
        <v>1684</v>
      </c>
      <c r="T104" s="20" t="s">
        <v>1685</v>
      </c>
      <c r="U104" s="20" t="s">
        <v>1686</v>
      </c>
      <c r="V104" s="22" t="s">
        <v>1687</v>
      </c>
      <c r="W104" s="20" t="s">
        <v>1688</v>
      </c>
      <c r="X104" s="20" t="s">
        <v>1689</v>
      </c>
      <c r="Y104" s="20" t="s">
        <v>123</v>
      </c>
      <c r="Z104" s="20" t="s">
        <v>149</v>
      </c>
      <c r="AA104" s="20"/>
      <c r="AB104" s="20"/>
      <c r="AC104" s="20"/>
      <c r="AD104" s="20"/>
      <c r="AE104" s="20"/>
      <c r="AF104" s="20"/>
      <c r="AG104" s="20" t="s">
        <v>216</v>
      </c>
      <c r="AH104" s="20" t="s">
        <v>129</v>
      </c>
      <c r="AI104" s="20"/>
    </row>
    <row r="105" customFormat="false" ht="219.75" hidden="false" customHeight="true" outlineLevel="0" collapsed="false">
      <c r="A105" s="17" t="n">
        <v>101</v>
      </c>
      <c r="B105" s="18" t="n">
        <v>46468</v>
      </c>
      <c r="C105" s="17" t="s">
        <v>102</v>
      </c>
      <c r="D105" s="17" t="n">
        <v>21</v>
      </c>
      <c r="E105" s="17" t="s">
        <v>1456</v>
      </c>
      <c r="F105" s="17" t="s">
        <v>1457</v>
      </c>
      <c r="G105" s="17" t="s">
        <v>105</v>
      </c>
      <c r="H105" s="17" t="s">
        <v>106</v>
      </c>
      <c r="I105" s="17" t="s">
        <v>107</v>
      </c>
      <c r="J105" s="17" t="s">
        <v>108</v>
      </c>
      <c r="K105" s="17" t="s">
        <v>1690</v>
      </c>
      <c r="L105" s="17" t="s">
        <v>1691</v>
      </c>
      <c r="M105" s="17" t="s">
        <v>1692</v>
      </c>
      <c r="N105" s="17" t="s">
        <v>1693</v>
      </c>
      <c r="O105" s="17" t="s">
        <v>1694</v>
      </c>
      <c r="P105" s="17" t="s">
        <v>1695</v>
      </c>
      <c r="Q105" s="17" t="s">
        <v>1696</v>
      </c>
      <c r="R105" s="17" t="s">
        <v>1697</v>
      </c>
      <c r="S105" s="17" t="s">
        <v>1698</v>
      </c>
      <c r="T105" s="17" t="s">
        <v>1699</v>
      </c>
      <c r="U105" s="17" t="s">
        <v>1700</v>
      </c>
      <c r="V105" s="19" t="s">
        <v>1701</v>
      </c>
      <c r="W105" s="17" t="s">
        <v>1702</v>
      </c>
      <c r="X105" s="17" t="s">
        <v>1703</v>
      </c>
      <c r="Y105" s="17" t="s">
        <v>123</v>
      </c>
      <c r="Z105" s="17" t="s">
        <v>124</v>
      </c>
      <c r="AA105" s="17"/>
      <c r="AB105" s="17"/>
      <c r="AC105" s="17"/>
      <c r="AD105" s="17" t="s">
        <v>1704</v>
      </c>
      <c r="AE105" s="17" t="s">
        <v>1705</v>
      </c>
      <c r="AF105" s="17" t="s">
        <v>1706</v>
      </c>
      <c r="AG105" s="17" t="s">
        <v>128</v>
      </c>
      <c r="AH105" s="17" t="s">
        <v>129</v>
      </c>
      <c r="AI105" s="17"/>
    </row>
    <row r="106" customFormat="false" ht="219.75" hidden="false" customHeight="true" outlineLevel="0" collapsed="false">
      <c r="A106" s="20" t="n">
        <v>102</v>
      </c>
      <c r="B106" s="21" t="n">
        <v>46469</v>
      </c>
      <c r="C106" s="20" t="s">
        <v>130</v>
      </c>
      <c r="D106" s="20" t="n">
        <v>21</v>
      </c>
      <c r="E106" s="20" t="s">
        <v>1456</v>
      </c>
      <c r="F106" s="20" t="s">
        <v>1457</v>
      </c>
      <c r="G106" s="20" t="s">
        <v>131</v>
      </c>
      <c r="H106" s="20" t="s">
        <v>132</v>
      </c>
      <c r="I106" s="20" t="s">
        <v>133</v>
      </c>
      <c r="J106" s="20" t="s">
        <v>134</v>
      </c>
      <c r="K106" s="20" t="s">
        <v>1707</v>
      </c>
      <c r="L106" s="20" t="s">
        <v>1708</v>
      </c>
      <c r="M106" s="20" t="s">
        <v>1709</v>
      </c>
      <c r="N106" s="20" t="s">
        <v>1710</v>
      </c>
      <c r="O106" s="20" t="s">
        <v>1711</v>
      </c>
      <c r="P106" s="20" t="s">
        <v>1712</v>
      </c>
      <c r="Q106" s="20" t="s">
        <v>1713</v>
      </c>
      <c r="R106" s="20" t="s">
        <v>1714</v>
      </c>
      <c r="S106" s="20" t="s">
        <v>1715</v>
      </c>
      <c r="T106" s="20" t="s">
        <v>1716</v>
      </c>
      <c r="U106" s="20" t="s">
        <v>1717</v>
      </c>
      <c r="V106" s="22" t="s">
        <v>1718</v>
      </c>
      <c r="W106" s="20" t="s">
        <v>1719</v>
      </c>
      <c r="X106" s="20" t="s">
        <v>1720</v>
      </c>
      <c r="Y106" s="20" t="s">
        <v>123</v>
      </c>
      <c r="Z106" s="20" t="s">
        <v>149</v>
      </c>
      <c r="AA106" s="20"/>
      <c r="AB106" s="20"/>
      <c r="AC106" s="20"/>
      <c r="AD106" s="20"/>
      <c r="AE106" s="20"/>
      <c r="AF106" s="20"/>
      <c r="AG106" s="20" t="s">
        <v>150</v>
      </c>
      <c r="AH106" s="20" t="s">
        <v>129</v>
      </c>
      <c r="AI106" s="20"/>
    </row>
    <row r="107" customFormat="false" ht="219.75" hidden="false" customHeight="true" outlineLevel="0" collapsed="false">
      <c r="A107" s="23" t="n">
        <v>103</v>
      </c>
      <c r="B107" s="24" t="n">
        <v>46470</v>
      </c>
      <c r="C107" s="23" t="s">
        <v>151</v>
      </c>
      <c r="D107" s="23" t="n">
        <v>21</v>
      </c>
      <c r="E107" s="23" t="s">
        <v>1456</v>
      </c>
      <c r="F107" s="23" t="s">
        <v>1457</v>
      </c>
      <c r="G107" s="23" t="s">
        <v>152</v>
      </c>
      <c r="H107" s="23" t="s">
        <v>153</v>
      </c>
      <c r="I107" s="23" t="s">
        <v>154</v>
      </c>
      <c r="J107" s="23" t="s">
        <v>155</v>
      </c>
      <c r="K107" s="23" t="s">
        <v>1721</v>
      </c>
      <c r="L107" s="23" t="s">
        <v>1722</v>
      </c>
      <c r="M107" s="23" t="s">
        <v>1723</v>
      </c>
      <c r="N107" s="23" t="s">
        <v>1724</v>
      </c>
      <c r="O107" s="23" t="s">
        <v>1725</v>
      </c>
      <c r="P107" s="23" t="s">
        <v>1726</v>
      </c>
      <c r="Q107" s="23" t="s">
        <v>1727</v>
      </c>
      <c r="R107" s="23" t="s">
        <v>1728</v>
      </c>
      <c r="S107" s="23" t="s">
        <v>1729</v>
      </c>
      <c r="T107" s="23" t="s">
        <v>165</v>
      </c>
      <c r="U107" s="23" t="s">
        <v>1730</v>
      </c>
      <c r="V107" s="25" t="s">
        <v>1731</v>
      </c>
      <c r="W107" s="23" t="s">
        <v>1732</v>
      </c>
      <c r="X107" s="23" t="s">
        <v>1733</v>
      </c>
      <c r="Y107" s="23" t="s">
        <v>170</v>
      </c>
      <c r="Z107" s="23" t="s">
        <v>171</v>
      </c>
      <c r="AA107" s="23" t="s">
        <v>1734</v>
      </c>
      <c r="AB107" s="23" t="s">
        <v>1735</v>
      </c>
      <c r="AC107" s="23" t="s">
        <v>1736</v>
      </c>
      <c r="AD107" s="23"/>
      <c r="AE107" s="23"/>
      <c r="AF107" s="23"/>
      <c r="AG107" s="23" t="s">
        <v>175</v>
      </c>
      <c r="AH107" s="23" t="s">
        <v>129</v>
      </c>
      <c r="AI107" s="23"/>
    </row>
    <row r="108" customFormat="false" ht="219.75" hidden="false" customHeight="true" outlineLevel="0" collapsed="false">
      <c r="A108" s="26" t="n">
        <v>104</v>
      </c>
      <c r="B108" s="27" t="n">
        <v>46471</v>
      </c>
      <c r="C108" s="26" t="s">
        <v>176</v>
      </c>
      <c r="D108" s="26" t="n">
        <v>21</v>
      </c>
      <c r="E108" s="26" t="s">
        <v>1456</v>
      </c>
      <c r="F108" s="26" t="s">
        <v>1457</v>
      </c>
      <c r="G108" s="26" t="s">
        <v>177</v>
      </c>
      <c r="H108" s="26" t="s">
        <v>178</v>
      </c>
      <c r="I108" s="26" t="s">
        <v>179</v>
      </c>
      <c r="J108" s="26" t="s">
        <v>180</v>
      </c>
      <c r="K108" s="26" t="s">
        <v>1737</v>
      </c>
      <c r="L108" s="26" t="s">
        <v>1738</v>
      </c>
      <c r="M108" s="26" t="s">
        <v>1739</v>
      </c>
      <c r="N108" s="26" t="s">
        <v>1740</v>
      </c>
      <c r="O108" s="26" t="s">
        <v>1741</v>
      </c>
      <c r="P108" s="26" t="s">
        <v>1742</v>
      </c>
      <c r="Q108" s="26" t="s">
        <v>1743</v>
      </c>
      <c r="R108" s="26" t="s">
        <v>1744</v>
      </c>
      <c r="S108" s="26" t="s">
        <v>1745</v>
      </c>
      <c r="T108" s="26" t="s">
        <v>1746</v>
      </c>
      <c r="U108" s="26" t="s">
        <v>1747</v>
      </c>
      <c r="V108" s="28" t="s">
        <v>1748</v>
      </c>
      <c r="W108" s="26" t="s">
        <v>1749</v>
      </c>
      <c r="X108" s="26" t="s">
        <v>1750</v>
      </c>
      <c r="Y108" s="26" t="s">
        <v>195</v>
      </c>
      <c r="Z108" s="26" t="s">
        <v>196</v>
      </c>
      <c r="AA108" s="26" t="s">
        <v>1751</v>
      </c>
      <c r="AB108" s="26" t="s">
        <v>1752</v>
      </c>
      <c r="AC108" s="26" t="s">
        <v>1753</v>
      </c>
      <c r="AD108" s="26"/>
      <c r="AE108" s="26"/>
      <c r="AF108" s="26"/>
      <c r="AG108" s="26" t="s">
        <v>150</v>
      </c>
      <c r="AH108" s="26" t="s">
        <v>129</v>
      </c>
      <c r="AI108" s="26"/>
    </row>
    <row r="109" customFormat="false" ht="219.75" hidden="false" customHeight="true" outlineLevel="0" collapsed="false">
      <c r="A109" s="20" t="n">
        <v>105</v>
      </c>
      <c r="B109" s="21" t="n">
        <v>46472</v>
      </c>
      <c r="C109" s="20" t="s">
        <v>200</v>
      </c>
      <c r="D109" s="20" t="n">
        <v>21</v>
      </c>
      <c r="E109" s="20" t="s">
        <v>1456</v>
      </c>
      <c r="F109" s="20" t="s">
        <v>1457</v>
      </c>
      <c r="G109" s="20" t="s">
        <v>201</v>
      </c>
      <c r="H109" s="20" t="s">
        <v>132</v>
      </c>
      <c r="I109" s="20" t="s">
        <v>133</v>
      </c>
      <c r="J109" s="20" t="s">
        <v>134</v>
      </c>
      <c r="K109" s="20" t="s">
        <v>1754</v>
      </c>
      <c r="L109" s="20" t="s">
        <v>1755</v>
      </c>
      <c r="M109" s="20" t="s">
        <v>1756</v>
      </c>
      <c r="N109" s="20" t="s">
        <v>1757</v>
      </c>
      <c r="O109" s="20" t="s">
        <v>1758</v>
      </c>
      <c r="P109" s="20" t="s">
        <v>1759</v>
      </c>
      <c r="Q109" s="20" t="s">
        <v>1760</v>
      </c>
      <c r="R109" s="20" t="s">
        <v>1761</v>
      </c>
      <c r="S109" s="20" t="s">
        <v>1762</v>
      </c>
      <c r="T109" s="20" t="s">
        <v>1763</v>
      </c>
      <c r="U109" s="20" t="s">
        <v>1764</v>
      </c>
      <c r="V109" s="22" t="s">
        <v>1765</v>
      </c>
      <c r="W109" s="20" t="s">
        <v>1766</v>
      </c>
      <c r="X109" s="20" t="s">
        <v>1767</v>
      </c>
      <c r="Y109" s="20" t="s">
        <v>123</v>
      </c>
      <c r="Z109" s="20" t="s">
        <v>149</v>
      </c>
      <c r="AA109" s="20"/>
      <c r="AB109" s="20"/>
      <c r="AC109" s="20"/>
      <c r="AD109" s="20"/>
      <c r="AE109" s="20"/>
      <c r="AF109" s="20"/>
      <c r="AG109" s="20" t="s">
        <v>216</v>
      </c>
      <c r="AH109" s="20" t="s">
        <v>129</v>
      </c>
      <c r="AI109" s="20"/>
    </row>
    <row r="110" customFormat="false" ht="219.75" hidden="false" customHeight="true" outlineLevel="0" collapsed="false">
      <c r="A110" s="17" t="n">
        <v>106</v>
      </c>
      <c r="B110" s="18" t="n">
        <v>46475</v>
      </c>
      <c r="C110" s="17" t="s">
        <v>102</v>
      </c>
      <c r="D110" s="17" t="n">
        <v>22</v>
      </c>
      <c r="E110" s="17" t="s">
        <v>1456</v>
      </c>
      <c r="F110" s="17" t="s">
        <v>1457</v>
      </c>
      <c r="G110" s="17" t="s">
        <v>105</v>
      </c>
      <c r="H110" s="17" t="s">
        <v>106</v>
      </c>
      <c r="I110" s="17" t="s">
        <v>107</v>
      </c>
      <c r="J110" s="17" t="s">
        <v>108</v>
      </c>
      <c r="K110" s="17" t="s">
        <v>1768</v>
      </c>
      <c r="L110" s="17" t="s">
        <v>1769</v>
      </c>
      <c r="M110" s="17" t="s">
        <v>1770</v>
      </c>
      <c r="N110" s="17" t="s">
        <v>1771</v>
      </c>
      <c r="O110" s="17" t="s">
        <v>1772</v>
      </c>
      <c r="P110" s="17" t="s">
        <v>1773</v>
      </c>
      <c r="Q110" s="17" t="s">
        <v>1774</v>
      </c>
      <c r="R110" s="17" t="s">
        <v>1775</v>
      </c>
      <c r="S110" s="17" t="s">
        <v>1776</v>
      </c>
      <c r="T110" s="17" t="s">
        <v>1777</v>
      </c>
      <c r="U110" s="17" t="s">
        <v>1778</v>
      </c>
      <c r="V110" s="19" t="s">
        <v>1779</v>
      </c>
      <c r="W110" s="17" t="s">
        <v>1780</v>
      </c>
      <c r="X110" s="17" t="s">
        <v>1781</v>
      </c>
      <c r="Y110" s="17" t="s">
        <v>123</v>
      </c>
      <c r="Z110" s="17" t="s">
        <v>124</v>
      </c>
      <c r="AA110" s="17"/>
      <c r="AB110" s="17"/>
      <c r="AC110" s="17"/>
      <c r="AD110" s="17" t="s">
        <v>231</v>
      </c>
      <c r="AE110" s="17" t="s">
        <v>1782</v>
      </c>
      <c r="AF110" s="17" t="s">
        <v>1783</v>
      </c>
      <c r="AG110" s="17" t="s">
        <v>128</v>
      </c>
      <c r="AH110" s="17" t="s">
        <v>129</v>
      </c>
      <c r="AI110" s="17"/>
    </row>
    <row r="111" customFormat="false" ht="219.75" hidden="false" customHeight="true" outlineLevel="0" collapsed="false">
      <c r="A111" s="20" t="n">
        <v>107</v>
      </c>
      <c r="B111" s="21" t="n">
        <v>46476</v>
      </c>
      <c r="C111" s="20" t="s">
        <v>130</v>
      </c>
      <c r="D111" s="20" t="n">
        <v>22</v>
      </c>
      <c r="E111" s="20" t="s">
        <v>1456</v>
      </c>
      <c r="F111" s="20" t="s">
        <v>1457</v>
      </c>
      <c r="G111" s="20" t="s">
        <v>131</v>
      </c>
      <c r="H111" s="20" t="s">
        <v>132</v>
      </c>
      <c r="I111" s="20" t="s">
        <v>133</v>
      </c>
      <c r="J111" s="20" t="s">
        <v>134</v>
      </c>
      <c r="K111" s="20" t="s">
        <v>1784</v>
      </c>
      <c r="L111" s="20" t="s">
        <v>1785</v>
      </c>
      <c r="M111" s="20" t="s">
        <v>1786</v>
      </c>
      <c r="N111" s="20" t="s">
        <v>1787</v>
      </c>
      <c r="O111" s="20" t="s">
        <v>1788</v>
      </c>
      <c r="P111" s="20" t="s">
        <v>1789</v>
      </c>
      <c r="Q111" s="20" t="s">
        <v>1790</v>
      </c>
      <c r="R111" s="20" t="s">
        <v>1791</v>
      </c>
      <c r="S111" s="20" t="s">
        <v>1792</v>
      </c>
      <c r="T111" s="20" t="s">
        <v>1793</v>
      </c>
      <c r="U111" s="20" t="s">
        <v>1794</v>
      </c>
      <c r="V111" s="22" t="s">
        <v>1795</v>
      </c>
      <c r="W111" s="20" t="s">
        <v>1796</v>
      </c>
      <c r="X111" s="20" t="s">
        <v>1797</v>
      </c>
      <c r="Y111" s="20" t="s">
        <v>123</v>
      </c>
      <c r="Z111" s="20" t="s">
        <v>149</v>
      </c>
      <c r="AA111" s="20"/>
      <c r="AB111" s="20"/>
      <c r="AC111" s="20"/>
      <c r="AD111" s="20"/>
      <c r="AE111" s="20"/>
      <c r="AF111" s="20"/>
      <c r="AG111" s="20" t="s">
        <v>150</v>
      </c>
      <c r="AH111" s="20" t="s">
        <v>129</v>
      </c>
      <c r="AI111" s="20"/>
    </row>
    <row r="112" customFormat="false" ht="219.75" hidden="false" customHeight="true" outlineLevel="0" collapsed="false">
      <c r="A112" s="23" t="n">
        <v>108</v>
      </c>
      <c r="B112" s="24" t="n">
        <v>46477</v>
      </c>
      <c r="C112" s="23" t="s">
        <v>151</v>
      </c>
      <c r="D112" s="23" t="n">
        <v>22</v>
      </c>
      <c r="E112" s="23" t="s">
        <v>1456</v>
      </c>
      <c r="F112" s="23" t="s">
        <v>1457</v>
      </c>
      <c r="G112" s="23" t="s">
        <v>152</v>
      </c>
      <c r="H112" s="23" t="s">
        <v>153</v>
      </c>
      <c r="I112" s="23" t="s">
        <v>154</v>
      </c>
      <c r="J112" s="23" t="s">
        <v>155</v>
      </c>
      <c r="K112" s="23" t="s">
        <v>1798</v>
      </c>
      <c r="L112" s="23" t="s">
        <v>1799</v>
      </c>
      <c r="M112" s="23" t="s">
        <v>1800</v>
      </c>
      <c r="N112" s="23" t="s">
        <v>1801</v>
      </c>
      <c r="O112" s="23" t="s">
        <v>1802</v>
      </c>
      <c r="P112" s="23" t="s">
        <v>1803</v>
      </c>
      <c r="Q112" s="23" t="s">
        <v>1804</v>
      </c>
      <c r="R112" s="23" t="s">
        <v>1805</v>
      </c>
      <c r="S112" s="23" t="s">
        <v>1806</v>
      </c>
      <c r="T112" s="23" t="s">
        <v>165</v>
      </c>
      <c r="U112" s="23" t="s">
        <v>1807</v>
      </c>
      <c r="V112" s="25" t="s">
        <v>1808</v>
      </c>
      <c r="W112" s="23" t="s">
        <v>1809</v>
      </c>
      <c r="X112" s="23" t="s">
        <v>1810</v>
      </c>
      <c r="Y112" s="23" t="s">
        <v>170</v>
      </c>
      <c r="Z112" s="23" t="s">
        <v>171</v>
      </c>
      <c r="AA112" s="23" t="s">
        <v>1811</v>
      </c>
      <c r="AB112" s="23" t="s">
        <v>1812</v>
      </c>
      <c r="AC112" s="23" t="s">
        <v>1813</v>
      </c>
      <c r="AD112" s="23"/>
      <c r="AE112" s="23"/>
      <c r="AF112" s="23"/>
      <c r="AG112" s="23" t="s">
        <v>175</v>
      </c>
      <c r="AH112" s="23" t="s">
        <v>129</v>
      </c>
      <c r="AI112" s="23"/>
    </row>
    <row r="113" customFormat="false" ht="219.75" hidden="false" customHeight="true" outlineLevel="0" collapsed="false">
      <c r="A113" s="26" t="n">
        <v>109</v>
      </c>
      <c r="B113" s="27" t="n">
        <v>46478</v>
      </c>
      <c r="C113" s="26" t="s">
        <v>176</v>
      </c>
      <c r="D113" s="26" t="n">
        <v>22</v>
      </c>
      <c r="E113" s="26" t="s">
        <v>1814</v>
      </c>
      <c r="F113" s="26" t="s">
        <v>1815</v>
      </c>
      <c r="G113" s="26" t="s">
        <v>177</v>
      </c>
      <c r="H113" s="26" t="s">
        <v>178</v>
      </c>
      <c r="I113" s="26" t="s">
        <v>179</v>
      </c>
      <c r="J113" s="26" t="s">
        <v>180</v>
      </c>
      <c r="K113" s="26" t="s">
        <v>1816</v>
      </c>
      <c r="L113" s="26" t="s">
        <v>1817</v>
      </c>
      <c r="M113" s="26" t="s">
        <v>1818</v>
      </c>
      <c r="N113" s="26" t="s">
        <v>1819</v>
      </c>
      <c r="O113" s="26" t="s">
        <v>1820</v>
      </c>
      <c r="P113" s="26" t="s">
        <v>1821</v>
      </c>
      <c r="Q113" s="26" t="s">
        <v>1822</v>
      </c>
      <c r="R113" s="26" t="s">
        <v>1823</v>
      </c>
      <c r="S113" s="26" t="s">
        <v>1824</v>
      </c>
      <c r="T113" s="26" t="s">
        <v>1825</v>
      </c>
      <c r="U113" s="26" t="s">
        <v>1826</v>
      </c>
      <c r="V113" s="28" t="s">
        <v>1827</v>
      </c>
      <c r="W113" s="26" t="s">
        <v>1828</v>
      </c>
      <c r="X113" s="26" t="s">
        <v>1829</v>
      </c>
      <c r="Y113" s="26" t="s">
        <v>195</v>
      </c>
      <c r="Z113" s="26" t="s">
        <v>196</v>
      </c>
      <c r="AA113" s="26" t="s">
        <v>1830</v>
      </c>
      <c r="AB113" s="26" t="s">
        <v>1831</v>
      </c>
      <c r="AC113" s="26" t="s">
        <v>1832</v>
      </c>
      <c r="AD113" s="26"/>
      <c r="AE113" s="26"/>
      <c r="AF113" s="26"/>
      <c r="AG113" s="26" t="s">
        <v>150</v>
      </c>
      <c r="AH113" s="26" t="s">
        <v>129</v>
      </c>
      <c r="AI113" s="26"/>
    </row>
    <row r="114" customFormat="false" ht="219.75" hidden="false" customHeight="true" outlineLevel="0" collapsed="false">
      <c r="A114" s="20" t="n">
        <v>110</v>
      </c>
      <c r="B114" s="21" t="n">
        <v>46479</v>
      </c>
      <c r="C114" s="20" t="s">
        <v>200</v>
      </c>
      <c r="D114" s="20" t="n">
        <v>22</v>
      </c>
      <c r="E114" s="20" t="s">
        <v>1814</v>
      </c>
      <c r="F114" s="20" t="s">
        <v>1815</v>
      </c>
      <c r="G114" s="20" t="s">
        <v>201</v>
      </c>
      <c r="H114" s="20" t="s">
        <v>132</v>
      </c>
      <c r="I114" s="20" t="s">
        <v>133</v>
      </c>
      <c r="J114" s="20" t="s">
        <v>134</v>
      </c>
      <c r="K114" s="20" t="s">
        <v>1833</v>
      </c>
      <c r="L114" s="20" t="s">
        <v>1834</v>
      </c>
      <c r="M114" s="20" t="s">
        <v>1835</v>
      </c>
      <c r="N114" s="20" t="s">
        <v>1836</v>
      </c>
      <c r="O114" s="20" t="s">
        <v>1837</v>
      </c>
      <c r="P114" s="20" t="s">
        <v>1838</v>
      </c>
      <c r="Q114" s="20" t="s">
        <v>1839</v>
      </c>
      <c r="R114" s="20" t="s">
        <v>1840</v>
      </c>
      <c r="S114" s="20" t="s">
        <v>1841</v>
      </c>
      <c r="T114" s="20" t="s">
        <v>1842</v>
      </c>
      <c r="U114" s="20" t="s">
        <v>1843</v>
      </c>
      <c r="V114" s="22" t="s">
        <v>1844</v>
      </c>
      <c r="W114" s="20" t="s">
        <v>1845</v>
      </c>
      <c r="X114" s="20" t="s">
        <v>1846</v>
      </c>
      <c r="Y114" s="20" t="s">
        <v>123</v>
      </c>
      <c r="Z114" s="20" t="s">
        <v>149</v>
      </c>
      <c r="AA114" s="20"/>
      <c r="AB114" s="20"/>
      <c r="AC114" s="20"/>
      <c r="AD114" s="20"/>
      <c r="AE114" s="20"/>
      <c r="AF114" s="20"/>
      <c r="AG114" s="20" t="s">
        <v>216</v>
      </c>
      <c r="AH114" s="20" t="s">
        <v>129</v>
      </c>
      <c r="AI114" s="20"/>
    </row>
    <row r="115" customFormat="false" ht="219.75" hidden="false" customHeight="true" outlineLevel="0" collapsed="false">
      <c r="A115" s="17" t="n">
        <v>111</v>
      </c>
      <c r="B115" s="18" t="n">
        <v>46482</v>
      </c>
      <c r="C115" s="17" t="s">
        <v>102</v>
      </c>
      <c r="D115" s="17" t="n">
        <v>23</v>
      </c>
      <c r="E115" s="17" t="s">
        <v>1814</v>
      </c>
      <c r="F115" s="17" t="s">
        <v>1815</v>
      </c>
      <c r="G115" s="17" t="s">
        <v>105</v>
      </c>
      <c r="H115" s="17" t="s">
        <v>106</v>
      </c>
      <c r="I115" s="17" t="s">
        <v>107</v>
      </c>
      <c r="J115" s="17" t="s">
        <v>108</v>
      </c>
      <c r="K115" s="17" t="s">
        <v>1847</v>
      </c>
      <c r="L115" s="17" t="s">
        <v>1848</v>
      </c>
      <c r="M115" s="17" t="s">
        <v>1849</v>
      </c>
      <c r="N115" s="17" t="s">
        <v>1850</v>
      </c>
      <c r="O115" s="17" t="s">
        <v>1851</v>
      </c>
      <c r="P115" s="17" t="s">
        <v>1852</v>
      </c>
      <c r="Q115" s="17" t="s">
        <v>1853</v>
      </c>
      <c r="R115" s="17" t="s">
        <v>1854</v>
      </c>
      <c r="S115" s="17" t="s">
        <v>1855</v>
      </c>
      <c r="T115" s="17" t="s">
        <v>1856</v>
      </c>
      <c r="U115" s="17" t="s">
        <v>1857</v>
      </c>
      <c r="V115" s="19" t="s">
        <v>1858</v>
      </c>
      <c r="W115" s="17" t="s">
        <v>1859</v>
      </c>
      <c r="X115" s="17" t="s">
        <v>1860</v>
      </c>
      <c r="Y115" s="17" t="s">
        <v>123</v>
      </c>
      <c r="Z115" s="17" t="s">
        <v>124</v>
      </c>
      <c r="AA115" s="17"/>
      <c r="AB115" s="17"/>
      <c r="AC115" s="17"/>
      <c r="AD115" s="17" t="s">
        <v>125</v>
      </c>
      <c r="AE115" s="17" t="s">
        <v>1861</v>
      </c>
      <c r="AF115" s="17" t="s">
        <v>1862</v>
      </c>
      <c r="AG115" s="17" t="s">
        <v>128</v>
      </c>
      <c r="AH115" s="17" t="s">
        <v>129</v>
      </c>
      <c r="AI115" s="17"/>
    </row>
    <row r="116" customFormat="false" ht="219.75" hidden="false" customHeight="true" outlineLevel="0" collapsed="false">
      <c r="A116" s="20" t="n">
        <v>112</v>
      </c>
      <c r="B116" s="21" t="n">
        <v>46483</v>
      </c>
      <c r="C116" s="20" t="s">
        <v>130</v>
      </c>
      <c r="D116" s="20" t="n">
        <v>23</v>
      </c>
      <c r="E116" s="20" t="s">
        <v>1814</v>
      </c>
      <c r="F116" s="20" t="s">
        <v>1815</v>
      </c>
      <c r="G116" s="20" t="s">
        <v>131</v>
      </c>
      <c r="H116" s="20" t="s">
        <v>132</v>
      </c>
      <c r="I116" s="20" t="s">
        <v>133</v>
      </c>
      <c r="J116" s="20" t="s">
        <v>134</v>
      </c>
      <c r="K116" s="20" t="s">
        <v>1863</v>
      </c>
      <c r="L116" s="20" t="s">
        <v>1864</v>
      </c>
      <c r="M116" s="20" t="s">
        <v>1865</v>
      </c>
      <c r="N116" s="20" t="s">
        <v>1866</v>
      </c>
      <c r="O116" s="20" t="s">
        <v>1867</v>
      </c>
      <c r="P116" s="20" t="s">
        <v>1868</v>
      </c>
      <c r="Q116" s="20" t="s">
        <v>1869</v>
      </c>
      <c r="R116" s="20" t="s">
        <v>1870</v>
      </c>
      <c r="S116" s="20" t="s">
        <v>1871</v>
      </c>
      <c r="T116" s="20" t="s">
        <v>1872</v>
      </c>
      <c r="U116" s="20" t="s">
        <v>1873</v>
      </c>
      <c r="V116" s="22" t="s">
        <v>1874</v>
      </c>
      <c r="W116" s="20" t="s">
        <v>1875</v>
      </c>
      <c r="X116" s="20" t="s">
        <v>1876</v>
      </c>
      <c r="Y116" s="20" t="s">
        <v>123</v>
      </c>
      <c r="Z116" s="20" t="s">
        <v>149</v>
      </c>
      <c r="AA116" s="20"/>
      <c r="AB116" s="20"/>
      <c r="AC116" s="20"/>
      <c r="AD116" s="20"/>
      <c r="AE116" s="20"/>
      <c r="AF116" s="20"/>
      <c r="AG116" s="20" t="s">
        <v>150</v>
      </c>
      <c r="AH116" s="20" t="s">
        <v>129</v>
      </c>
      <c r="AI116" s="20"/>
    </row>
    <row r="117" customFormat="false" ht="219.75" hidden="false" customHeight="true" outlineLevel="0" collapsed="false">
      <c r="A117" s="23" t="n">
        <v>113</v>
      </c>
      <c r="B117" s="24" t="n">
        <v>46484</v>
      </c>
      <c r="C117" s="23" t="s">
        <v>151</v>
      </c>
      <c r="D117" s="23" t="n">
        <v>23</v>
      </c>
      <c r="E117" s="23" t="s">
        <v>1814</v>
      </c>
      <c r="F117" s="23" t="s">
        <v>1815</v>
      </c>
      <c r="G117" s="23" t="s">
        <v>152</v>
      </c>
      <c r="H117" s="23" t="s">
        <v>153</v>
      </c>
      <c r="I117" s="23" t="s">
        <v>154</v>
      </c>
      <c r="J117" s="23" t="s">
        <v>155</v>
      </c>
      <c r="K117" s="23" t="s">
        <v>1877</v>
      </c>
      <c r="L117" s="23" t="s">
        <v>1878</v>
      </c>
      <c r="M117" s="23" t="s">
        <v>1879</v>
      </c>
      <c r="N117" s="23" t="s">
        <v>1880</v>
      </c>
      <c r="O117" s="23" t="s">
        <v>1881</v>
      </c>
      <c r="P117" s="23" t="s">
        <v>1882</v>
      </c>
      <c r="Q117" s="23" t="s">
        <v>1883</v>
      </c>
      <c r="R117" s="23" t="s">
        <v>1884</v>
      </c>
      <c r="S117" s="23" t="s">
        <v>1885</v>
      </c>
      <c r="T117" s="23" t="s">
        <v>165</v>
      </c>
      <c r="U117" s="23" t="s">
        <v>1886</v>
      </c>
      <c r="V117" s="25" t="s">
        <v>1887</v>
      </c>
      <c r="W117" s="23" t="s">
        <v>1888</v>
      </c>
      <c r="X117" s="23" t="s">
        <v>1889</v>
      </c>
      <c r="Y117" s="23" t="s">
        <v>170</v>
      </c>
      <c r="Z117" s="23" t="s">
        <v>171</v>
      </c>
      <c r="AA117" s="23" t="s">
        <v>1890</v>
      </c>
      <c r="AB117" s="23" t="s">
        <v>1891</v>
      </c>
      <c r="AC117" s="23" t="s">
        <v>1892</v>
      </c>
      <c r="AD117" s="23"/>
      <c r="AE117" s="23"/>
      <c r="AF117" s="23"/>
      <c r="AG117" s="23" t="s">
        <v>175</v>
      </c>
      <c r="AH117" s="23" t="s">
        <v>129</v>
      </c>
      <c r="AI117" s="23"/>
    </row>
    <row r="118" customFormat="false" ht="219.75" hidden="false" customHeight="true" outlineLevel="0" collapsed="false">
      <c r="A118" s="26" t="n">
        <v>114</v>
      </c>
      <c r="B118" s="27" t="n">
        <v>46485</v>
      </c>
      <c r="C118" s="26" t="s">
        <v>176</v>
      </c>
      <c r="D118" s="26" t="n">
        <v>23</v>
      </c>
      <c r="E118" s="26" t="s">
        <v>1814</v>
      </c>
      <c r="F118" s="26" t="s">
        <v>1815</v>
      </c>
      <c r="G118" s="26" t="s">
        <v>177</v>
      </c>
      <c r="H118" s="26" t="s">
        <v>178</v>
      </c>
      <c r="I118" s="26" t="s">
        <v>179</v>
      </c>
      <c r="J118" s="26" t="s">
        <v>180</v>
      </c>
      <c r="K118" s="26" t="s">
        <v>1893</v>
      </c>
      <c r="L118" s="26" t="s">
        <v>1894</v>
      </c>
      <c r="M118" s="26" t="s">
        <v>1895</v>
      </c>
      <c r="N118" s="26" t="s">
        <v>1896</v>
      </c>
      <c r="O118" s="26" t="s">
        <v>1897</v>
      </c>
      <c r="P118" s="26" t="s">
        <v>1898</v>
      </c>
      <c r="Q118" s="26" t="s">
        <v>1899</v>
      </c>
      <c r="R118" s="26" t="s">
        <v>1900</v>
      </c>
      <c r="S118" s="26" t="s">
        <v>1901</v>
      </c>
      <c r="T118" s="26" t="s">
        <v>1902</v>
      </c>
      <c r="U118" s="26" t="s">
        <v>1903</v>
      </c>
      <c r="V118" s="28" t="s">
        <v>1904</v>
      </c>
      <c r="W118" s="26" t="s">
        <v>1905</v>
      </c>
      <c r="X118" s="26" t="s">
        <v>1906</v>
      </c>
      <c r="Y118" s="26" t="s">
        <v>195</v>
      </c>
      <c r="Z118" s="26" t="s">
        <v>196</v>
      </c>
      <c r="AA118" s="26" t="s">
        <v>1907</v>
      </c>
      <c r="AB118" s="26" t="s">
        <v>1908</v>
      </c>
      <c r="AC118" s="26" t="s">
        <v>1909</v>
      </c>
      <c r="AD118" s="26"/>
      <c r="AE118" s="26"/>
      <c r="AF118" s="26"/>
      <c r="AG118" s="26" t="s">
        <v>150</v>
      </c>
      <c r="AH118" s="26" t="s">
        <v>129</v>
      </c>
      <c r="AI118" s="26"/>
    </row>
    <row r="119" customFormat="false" ht="219.75" hidden="false" customHeight="true" outlineLevel="0" collapsed="false">
      <c r="A119" s="20" t="n">
        <v>115</v>
      </c>
      <c r="B119" s="21" t="n">
        <v>46486</v>
      </c>
      <c r="C119" s="20" t="s">
        <v>200</v>
      </c>
      <c r="D119" s="20" t="n">
        <v>23</v>
      </c>
      <c r="E119" s="20" t="s">
        <v>1814</v>
      </c>
      <c r="F119" s="20" t="s">
        <v>1815</v>
      </c>
      <c r="G119" s="20" t="s">
        <v>201</v>
      </c>
      <c r="H119" s="20" t="s">
        <v>132</v>
      </c>
      <c r="I119" s="20" t="s">
        <v>133</v>
      </c>
      <c r="J119" s="20" t="s">
        <v>134</v>
      </c>
      <c r="K119" s="20" t="s">
        <v>1910</v>
      </c>
      <c r="L119" s="20" t="s">
        <v>1911</v>
      </c>
      <c r="M119" s="20" t="s">
        <v>1912</v>
      </c>
      <c r="N119" s="20" t="s">
        <v>1913</v>
      </c>
      <c r="O119" s="20" t="s">
        <v>1914</v>
      </c>
      <c r="P119" s="20" t="s">
        <v>1915</v>
      </c>
      <c r="Q119" s="20" t="s">
        <v>1916</v>
      </c>
      <c r="R119" s="20" t="s">
        <v>1917</v>
      </c>
      <c r="S119" s="20" t="s">
        <v>1918</v>
      </c>
      <c r="T119" s="20" t="s">
        <v>1919</v>
      </c>
      <c r="U119" s="20" t="s">
        <v>1920</v>
      </c>
      <c r="V119" s="22" t="s">
        <v>1921</v>
      </c>
      <c r="W119" s="20" t="s">
        <v>1922</v>
      </c>
      <c r="X119" s="20" t="s">
        <v>1923</v>
      </c>
      <c r="Y119" s="20" t="s">
        <v>123</v>
      </c>
      <c r="Z119" s="20" t="s">
        <v>149</v>
      </c>
      <c r="AA119" s="20"/>
      <c r="AB119" s="20"/>
      <c r="AC119" s="20"/>
      <c r="AD119" s="20"/>
      <c r="AE119" s="20"/>
      <c r="AF119" s="20"/>
      <c r="AG119" s="20" t="s">
        <v>216</v>
      </c>
      <c r="AH119" s="20" t="s">
        <v>129</v>
      </c>
      <c r="AI119" s="20"/>
    </row>
    <row r="120" customFormat="false" ht="219.75" hidden="false" customHeight="true" outlineLevel="0" collapsed="false">
      <c r="A120" s="17" t="n">
        <v>116</v>
      </c>
      <c r="B120" s="18" t="n">
        <v>46489</v>
      </c>
      <c r="C120" s="17" t="s">
        <v>102</v>
      </c>
      <c r="D120" s="17" t="n">
        <v>24</v>
      </c>
      <c r="E120" s="17" t="s">
        <v>1814</v>
      </c>
      <c r="F120" s="17" t="s">
        <v>1815</v>
      </c>
      <c r="G120" s="17" t="s">
        <v>105</v>
      </c>
      <c r="H120" s="17" t="s">
        <v>106</v>
      </c>
      <c r="I120" s="17" t="s">
        <v>107</v>
      </c>
      <c r="J120" s="17" t="s">
        <v>108</v>
      </c>
      <c r="K120" s="17" t="s">
        <v>1924</v>
      </c>
      <c r="L120" s="17" t="s">
        <v>1925</v>
      </c>
      <c r="M120" s="17" t="s">
        <v>1926</v>
      </c>
      <c r="N120" s="17" t="s">
        <v>1927</v>
      </c>
      <c r="O120" s="17" t="s">
        <v>1928</v>
      </c>
      <c r="P120" s="17" t="s">
        <v>1929</v>
      </c>
      <c r="Q120" s="17" t="s">
        <v>1930</v>
      </c>
      <c r="R120" s="17" t="s">
        <v>1931</v>
      </c>
      <c r="S120" s="17" t="s">
        <v>1932</v>
      </c>
      <c r="T120" s="17" t="s">
        <v>1933</v>
      </c>
      <c r="U120" s="17" t="s">
        <v>1934</v>
      </c>
      <c r="V120" s="19" t="s">
        <v>1935</v>
      </c>
      <c r="W120" s="17" t="s">
        <v>1936</v>
      </c>
      <c r="X120" s="17" t="s">
        <v>1937</v>
      </c>
      <c r="Y120" s="17" t="s">
        <v>123</v>
      </c>
      <c r="Z120" s="17" t="s">
        <v>124</v>
      </c>
      <c r="AA120" s="17"/>
      <c r="AB120" s="17"/>
      <c r="AC120" s="17"/>
      <c r="AD120" s="17" t="s">
        <v>1082</v>
      </c>
      <c r="AE120" s="17" t="s">
        <v>1938</v>
      </c>
      <c r="AF120" s="17" t="s">
        <v>1939</v>
      </c>
      <c r="AG120" s="17" t="s">
        <v>128</v>
      </c>
      <c r="AH120" s="17" t="s">
        <v>129</v>
      </c>
      <c r="AI120" s="17"/>
    </row>
    <row r="121" customFormat="false" ht="219.75" hidden="false" customHeight="true" outlineLevel="0" collapsed="false">
      <c r="A121" s="20" t="n">
        <v>117</v>
      </c>
      <c r="B121" s="21" t="n">
        <v>46490</v>
      </c>
      <c r="C121" s="20" t="s">
        <v>130</v>
      </c>
      <c r="D121" s="20" t="n">
        <v>24</v>
      </c>
      <c r="E121" s="20" t="s">
        <v>1814</v>
      </c>
      <c r="F121" s="20" t="s">
        <v>1815</v>
      </c>
      <c r="G121" s="20" t="s">
        <v>131</v>
      </c>
      <c r="H121" s="20" t="s">
        <v>132</v>
      </c>
      <c r="I121" s="20" t="s">
        <v>133</v>
      </c>
      <c r="J121" s="20" t="s">
        <v>134</v>
      </c>
      <c r="K121" s="20" t="s">
        <v>1940</v>
      </c>
      <c r="L121" s="20" t="s">
        <v>1941</v>
      </c>
      <c r="M121" s="20" t="s">
        <v>1942</v>
      </c>
      <c r="N121" s="20" t="s">
        <v>1943</v>
      </c>
      <c r="O121" s="20" t="s">
        <v>1944</v>
      </c>
      <c r="P121" s="20" t="s">
        <v>1945</v>
      </c>
      <c r="Q121" s="20" t="s">
        <v>1946</v>
      </c>
      <c r="R121" s="20" t="s">
        <v>1947</v>
      </c>
      <c r="S121" s="20" t="s">
        <v>1948</v>
      </c>
      <c r="T121" s="20" t="s">
        <v>1949</v>
      </c>
      <c r="U121" s="20" t="s">
        <v>1950</v>
      </c>
      <c r="V121" s="22" t="s">
        <v>1951</v>
      </c>
      <c r="W121" s="20" t="s">
        <v>1952</v>
      </c>
      <c r="X121" s="20" t="s">
        <v>1953</v>
      </c>
      <c r="Y121" s="20" t="s">
        <v>123</v>
      </c>
      <c r="Z121" s="20" t="s">
        <v>149</v>
      </c>
      <c r="AA121" s="20"/>
      <c r="AB121" s="20"/>
      <c r="AC121" s="20"/>
      <c r="AD121" s="20"/>
      <c r="AE121" s="20"/>
      <c r="AF121" s="20"/>
      <c r="AG121" s="20" t="s">
        <v>150</v>
      </c>
      <c r="AH121" s="20" t="s">
        <v>129</v>
      </c>
      <c r="AI121" s="20"/>
    </row>
    <row r="122" customFormat="false" ht="219.75" hidden="false" customHeight="true" outlineLevel="0" collapsed="false">
      <c r="A122" s="23" t="n">
        <v>118</v>
      </c>
      <c r="B122" s="24" t="n">
        <v>46491</v>
      </c>
      <c r="C122" s="23" t="s">
        <v>151</v>
      </c>
      <c r="D122" s="23" t="n">
        <v>24</v>
      </c>
      <c r="E122" s="23" t="s">
        <v>1814</v>
      </c>
      <c r="F122" s="23" t="s">
        <v>1815</v>
      </c>
      <c r="G122" s="23" t="s">
        <v>152</v>
      </c>
      <c r="H122" s="23" t="s">
        <v>153</v>
      </c>
      <c r="I122" s="23" t="s">
        <v>154</v>
      </c>
      <c r="J122" s="23" t="s">
        <v>155</v>
      </c>
      <c r="K122" s="23" t="s">
        <v>1954</v>
      </c>
      <c r="L122" s="23" t="s">
        <v>1955</v>
      </c>
      <c r="M122" s="23" t="s">
        <v>1956</v>
      </c>
      <c r="N122" s="23" t="s">
        <v>1957</v>
      </c>
      <c r="O122" s="23" t="s">
        <v>1958</v>
      </c>
      <c r="P122" s="23" t="s">
        <v>1959</v>
      </c>
      <c r="Q122" s="23" t="s">
        <v>1960</v>
      </c>
      <c r="R122" s="23" t="s">
        <v>1961</v>
      </c>
      <c r="S122" s="23" t="s">
        <v>1962</v>
      </c>
      <c r="T122" s="23" t="s">
        <v>165</v>
      </c>
      <c r="U122" s="23" t="s">
        <v>1963</v>
      </c>
      <c r="V122" s="25" t="s">
        <v>1964</v>
      </c>
      <c r="W122" s="23" t="s">
        <v>1965</v>
      </c>
      <c r="X122" s="23" t="s">
        <v>1966</v>
      </c>
      <c r="Y122" s="23" t="s">
        <v>170</v>
      </c>
      <c r="Z122" s="23" t="s">
        <v>171</v>
      </c>
      <c r="AA122" s="23" t="s">
        <v>1967</v>
      </c>
      <c r="AB122" s="23" t="s">
        <v>1968</v>
      </c>
      <c r="AC122" s="23" t="s">
        <v>1969</v>
      </c>
      <c r="AD122" s="23"/>
      <c r="AE122" s="23"/>
      <c r="AF122" s="23"/>
      <c r="AG122" s="23" t="s">
        <v>175</v>
      </c>
      <c r="AH122" s="23" t="s">
        <v>129</v>
      </c>
      <c r="AI122" s="23"/>
    </row>
    <row r="123" customFormat="false" ht="219.75" hidden="false" customHeight="true" outlineLevel="0" collapsed="false">
      <c r="A123" s="26" t="n">
        <v>119</v>
      </c>
      <c r="B123" s="27" t="n">
        <v>46492</v>
      </c>
      <c r="C123" s="26" t="s">
        <v>176</v>
      </c>
      <c r="D123" s="26" t="n">
        <v>24</v>
      </c>
      <c r="E123" s="26" t="s">
        <v>1814</v>
      </c>
      <c r="F123" s="26" t="s">
        <v>1815</v>
      </c>
      <c r="G123" s="26" t="s">
        <v>177</v>
      </c>
      <c r="H123" s="26" t="s">
        <v>178</v>
      </c>
      <c r="I123" s="26" t="s">
        <v>179</v>
      </c>
      <c r="J123" s="26" t="s">
        <v>180</v>
      </c>
      <c r="K123" s="26" t="s">
        <v>1970</v>
      </c>
      <c r="L123" s="26" t="s">
        <v>1971</v>
      </c>
      <c r="M123" s="26" t="s">
        <v>1972</v>
      </c>
      <c r="N123" s="26" t="s">
        <v>1973</v>
      </c>
      <c r="O123" s="26" t="s">
        <v>1974</v>
      </c>
      <c r="P123" s="26" t="s">
        <v>1975</v>
      </c>
      <c r="Q123" s="26" t="s">
        <v>1976</v>
      </c>
      <c r="R123" s="26" t="s">
        <v>1977</v>
      </c>
      <c r="S123" s="26" t="s">
        <v>1978</v>
      </c>
      <c r="T123" s="26" t="s">
        <v>1979</v>
      </c>
      <c r="U123" s="26" t="s">
        <v>1980</v>
      </c>
      <c r="V123" s="28" t="s">
        <v>1981</v>
      </c>
      <c r="W123" s="26" t="s">
        <v>1982</v>
      </c>
      <c r="X123" s="26" t="s">
        <v>1983</v>
      </c>
      <c r="Y123" s="26" t="s">
        <v>195</v>
      </c>
      <c r="Z123" s="26" t="s">
        <v>196</v>
      </c>
      <c r="AA123" s="26" t="s">
        <v>1984</v>
      </c>
      <c r="AB123" s="26" t="s">
        <v>1985</v>
      </c>
      <c r="AC123" s="26" t="s">
        <v>1986</v>
      </c>
      <c r="AD123" s="26"/>
      <c r="AE123" s="26"/>
      <c r="AF123" s="26"/>
      <c r="AG123" s="26" t="s">
        <v>150</v>
      </c>
      <c r="AH123" s="26" t="s">
        <v>129</v>
      </c>
      <c r="AI123" s="26"/>
    </row>
    <row r="124" customFormat="false" ht="219.75" hidden="false" customHeight="true" outlineLevel="0" collapsed="false">
      <c r="A124" s="20" t="n">
        <v>120</v>
      </c>
      <c r="B124" s="21" t="n">
        <v>46493</v>
      </c>
      <c r="C124" s="20" t="s">
        <v>200</v>
      </c>
      <c r="D124" s="20" t="n">
        <v>24</v>
      </c>
      <c r="E124" s="20" t="s">
        <v>1814</v>
      </c>
      <c r="F124" s="20" t="s">
        <v>1815</v>
      </c>
      <c r="G124" s="20" t="s">
        <v>201</v>
      </c>
      <c r="H124" s="20" t="s">
        <v>132</v>
      </c>
      <c r="I124" s="20" t="s">
        <v>133</v>
      </c>
      <c r="J124" s="20" t="s">
        <v>134</v>
      </c>
      <c r="K124" s="20" t="s">
        <v>1987</v>
      </c>
      <c r="L124" s="20" t="s">
        <v>1988</v>
      </c>
      <c r="M124" s="20" t="s">
        <v>1989</v>
      </c>
      <c r="N124" s="20" t="s">
        <v>1990</v>
      </c>
      <c r="O124" s="20" t="s">
        <v>1991</v>
      </c>
      <c r="P124" s="20" t="s">
        <v>1992</v>
      </c>
      <c r="Q124" s="20" t="s">
        <v>1993</v>
      </c>
      <c r="R124" s="20" t="s">
        <v>1994</v>
      </c>
      <c r="S124" s="20" t="s">
        <v>1995</v>
      </c>
      <c r="T124" s="20" t="s">
        <v>1996</v>
      </c>
      <c r="U124" s="20" t="s">
        <v>1997</v>
      </c>
      <c r="V124" s="22" t="s">
        <v>1998</v>
      </c>
      <c r="W124" s="20" t="s">
        <v>1999</v>
      </c>
      <c r="X124" s="20" t="s">
        <v>2000</v>
      </c>
      <c r="Y124" s="20" t="s">
        <v>123</v>
      </c>
      <c r="Z124" s="20" t="s">
        <v>149</v>
      </c>
      <c r="AA124" s="20"/>
      <c r="AB124" s="20"/>
      <c r="AC124" s="20"/>
      <c r="AD124" s="20"/>
      <c r="AE124" s="20"/>
      <c r="AF124" s="20"/>
      <c r="AG124" s="20" t="s">
        <v>216</v>
      </c>
      <c r="AH124" s="20" t="s">
        <v>129</v>
      </c>
      <c r="AI124" s="20"/>
    </row>
    <row r="125" customFormat="false" ht="219.75" hidden="false" customHeight="true" outlineLevel="0" collapsed="false">
      <c r="A125" s="17" t="n">
        <v>121</v>
      </c>
      <c r="B125" s="18" t="n">
        <v>46496</v>
      </c>
      <c r="C125" s="17" t="s">
        <v>102</v>
      </c>
      <c r="D125" s="17" t="n">
        <v>25</v>
      </c>
      <c r="E125" s="17" t="s">
        <v>1814</v>
      </c>
      <c r="F125" s="17" t="s">
        <v>1815</v>
      </c>
      <c r="G125" s="17" t="s">
        <v>105</v>
      </c>
      <c r="H125" s="17" t="s">
        <v>106</v>
      </c>
      <c r="I125" s="17" t="s">
        <v>107</v>
      </c>
      <c r="J125" s="17" t="s">
        <v>108</v>
      </c>
      <c r="K125" s="17" t="s">
        <v>2001</v>
      </c>
      <c r="L125" s="17" t="s">
        <v>2002</v>
      </c>
      <c r="M125" s="17" t="s">
        <v>2003</v>
      </c>
      <c r="N125" s="17" t="s">
        <v>2004</v>
      </c>
      <c r="O125" s="17" t="s">
        <v>2005</v>
      </c>
      <c r="P125" s="17" t="s">
        <v>2006</v>
      </c>
      <c r="Q125" s="17" t="s">
        <v>2007</v>
      </c>
      <c r="R125" s="17" t="s">
        <v>2008</v>
      </c>
      <c r="S125" s="17" t="s">
        <v>2009</v>
      </c>
      <c r="T125" s="17" t="s">
        <v>2010</v>
      </c>
      <c r="U125" s="17" t="s">
        <v>2011</v>
      </c>
      <c r="V125" s="19" t="s">
        <v>2012</v>
      </c>
      <c r="W125" s="17" t="s">
        <v>2013</v>
      </c>
      <c r="X125" s="17" t="s">
        <v>2014</v>
      </c>
      <c r="Y125" s="17" t="s">
        <v>123</v>
      </c>
      <c r="Z125" s="17" t="s">
        <v>124</v>
      </c>
      <c r="AA125" s="17"/>
      <c r="AB125" s="17"/>
      <c r="AC125" s="17"/>
      <c r="AD125" s="17" t="s">
        <v>125</v>
      </c>
      <c r="AE125" s="17" t="s">
        <v>2015</v>
      </c>
      <c r="AF125" s="17" t="s">
        <v>2016</v>
      </c>
      <c r="AG125" s="17" t="s">
        <v>128</v>
      </c>
      <c r="AH125" s="17" t="s">
        <v>129</v>
      </c>
      <c r="AI125" s="17"/>
    </row>
    <row r="126" customFormat="false" ht="219.75" hidden="false" customHeight="true" outlineLevel="0" collapsed="false">
      <c r="A126" s="20" t="n">
        <v>122</v>
      </c>
      <c r="B126" s="21" t="n">
        <v>46497</v>
      </c>
      <c r="C126" s="20" t="s">
        <v>130</v>
      </c>
      <c r="D126" s="20" t="n">
        <v>25</v>
      </c>
      <c r="E126" s="20" t="s">
        <v>1814</v>
      </c>
      <c r="F126" s="20" t="s">
        <v>1815</v>
      </c>
      <c r="G126" s="20" t="s">
        <v>131</v>
      </c>
      <c r="H126" s="20" t="s">
        <v>132</v>
      </c>
      <c r="I126" s="20" t="s">
        <v>133</v>
      </c>
      <c r="J126" s="20" t="s">
        <v>134</v>
      </c>
      <c r="K126" s="20" t="s">
        <v>2017</v>
      </c>
      <c r="L126" s="20" t="s">
        <v>2018</v>
      </c>
      <c r="M126" s="20" t="s">
        <v>2019</v>
      </c>
      <c r="N126" s="20" t="s">
        <v>2020</v>
      </c>
      <c r="O126" s="20" t="s">
        <v>2021</v>
      </c>
      <c r="P126" s="20" t="s">
        <v>2022</v>
      </c>
      <c r="Q126" s="20" t="s">
        <v>2023</v>
      </c>
      <c r="R126" s="20" t="s">
        <v>2024</v>
      </c>
      <c r="S126" s="20" t="s">
        <v>2025</v>
      </c>
      <c r="T126" s="20" t="s">
        <v>2026</v>
      </c>
      <c r="U126" s="20" t="s">
        <v>2027</v>
      </c>
      <c r="V126" s="22" t="s">
        <v>2028</v>
      </c>
      <c r="W126" s="20" t="s">
        <v>2029</v>
      </c>
      <c r="X126" s="20" t="s">
        <v>2030</v>
      </c>
      <c r="Y126" s="20" t="s">
        <v>123</v>
      </c>
      <c r="Z126" s="20" t="s">
        <v>149</v>
      </c>
      <c r="AA126" s="20"/>
      <c r="AB126" s="20"/>
      <c r="AC126" s="20"/>
      <c r="AD126" s="20"/>
      <c r="AE126" s="20"/>
      <c r="AF126" s="20"/>
      <c r="AG126" s="20" t="s">
        <v>150</v>
      </c>
      <c r="AH126" s="20" t="s">
        <v>129</v>
      </c>
      <c r="AI126" s="20"/>
    </row>
    <row r="127" customFormat="false" ht="219.75" hidden="false" customHeight="true" outlineLevel="0" collapsed="false">
      <c r="A127" s="23" t="n">
        <v>123</v>
      </c>
      <c r="B127" s="24" t="n">
        <v>46498</v>
      </c>
      <c r="C127" s="23" t="s">
        <v>151</v>
      </c>
      <c r="D127" s="23" t="n">
        <v>25</v>
      </c>
      <c r="E127" s="23" t="s">
        <v>1814</v>
      </c>
      <c r="F127" s="23" t="s">
        <v>1815</v>
      </c>
      <c r="G127" s="23" t="s">
        <v>152</v>
      </c>
      <c r="H127" s="23" t="s">
        <v>153</v>
      </c>
      <c r="I127" s="23" t="s">
        <v>154</v>
      </c>
      <c r="J127" s="23" t="s">
        <v>155</v>
      </c>
      <c r="K127" s="23" t="s">
        <v>2031</v>
      </c>
      <c r="L127" s="23" t="s">
        <v>2032</v>
      </c>
      <c r="M127" s="23" t="s">
        <v>2033</v>
      </c>
      <c r="N127" s="23" t="s">
        <v>2034</v>
      </c>
      <c r="O127" s="23" t="s">
        <v>2035</v>
      </c>
      <c r="P127" s="23" t="s">
        <v>2036</v>
      </c>
      <c r="Q127" s="23" t="s">
        <v>2037</v>
      </c>
      <c r="R127" s="23" t="s">
        <v>2038</v>
      </c>
      <c r="S127" s="23" t="s">
        <v>2039</v>
      </c>
      <c r="T127" s="23" t="s">
        <v>165</v>
      </c>
      <c r="U127" s="23" t="s">
        <v>2040</v>
      </c>
      <c r="V127" s="25" t="s">
        <v>2041</v>
      </c>
      <c r="W127" s="23" t="s">
        <v>2042</v>
      </c>
      <c r="X127" s="23" t="s">
        <v>2043</v>
      </c>
      <c r="Y127" s="23" t="s">
        <v>170</v>
      </c>
      <c r="Z127" s="23" t="s">
        <v>171</v>
      </c>
      <c r="AA127" s="23" t="s">
        <v>2044</v>
      </c>
      <c r="AB127" s="23" t="s">
        <v>2045</v>
      </c>
      <c r="AC127" s="23" t="s">
        <v>2046</v>
      </c>
      <c r="AD127" s="23"/>
      <c r="AE127" s="23"/>
      <c r="AF127" s="23"/>
      <c r="AG127" s="23" t="s">
        <v>175</v>
      </c>
      <c r="AH127" s="23" t="s">
        <v>129</v>
      </c>
      <c r="AI127" s="23"/>
    </row>
    <row r="128" customFormat="false" ht="219.75" hidden="false" customHeight="true" outlineLevel="0" collapsed="false">
      <c r="A128" s="26" t="n">
        <v>124</v>
      </c>
      <c r="B128" s="27" t="n">
        <v>46499</v>
      </c>
      <c r="C128" s="26" t="s">
        <v>176</v>
      </c>
      <c r="D128" s="26" t="n">
        <v>25</v>
      </c>
      <c r="E128" s="26" t="s">
        <v>1814</v>
      </c>
      <c r="F128" s="26" t="s">
        <v>1815</v>
      </c>
      <c r="G128" s="26" t="s">
        <v>177</v>
      </c>
      <c r="H128" s="26" t="s">
        <v>178</v>
      </c>
      <c r="I128" s="26" t="s">
        <v>179</v>
      </c>
      <c r="J128" s="26" t="s">
        <v>180</v>
      </c>
      <c r="K128" s="26" t="s">
        <v>2047</v>
      </c>
      <c r="L128" s="26" t="s">
        <v>2048</v>
      </c>
      <c r="M128" s="26" t="s">
        <v>2049</v>
      </c>
      <c r="N128" s="26" t="s">
        <v>2050</v>
      </c>
      <c r="O128" s="26" t="s">
        <v>2051</v>
      </c>
      <c r="P128" s="26" t="s">
        <v>2052</v>
      </c>
      <c r="Q128" s="26" t="s">
        <v>2053</v>
      </c>
      <c r="R128" s="26" t="s">
        <v>2054</v>
      </c>
      <c r="S128" s="26" t="s">
        <v>2055</v>
      </c>
      <c r="T128" s="26" t="s">
        <v>2056</v>
      </c>
      <c r="U128" s="26" t="s">
        <v>2057</v>
      </c>
      <c r="V128" s="28" t="s">
        <v>2058</v>
      </c>
      <c r="W128" s="26" t="s">
        <v>2059</v>
      </c>
      <c r="X128" s="26" t="s">
        <v>2060</v>
      </c>
      <c r="Y128" s="26" t="s">
        <v>195</v>
      </c>
      <c r="Z128" s="26" t="s">
        <v>196</v>
      </c>
      <c r="AA128" s="26" t="s">
        <v>2061</v>
      </c>
      <c r="AB128" s="26" t="s">
        <v>2062</v>
      </c>
      <c r="AC128" s="26" t="s">
        <v>2063</v>
      </c>
      <c r="AD128" s="26"/>
      <c r="AE128" s="26"/>
      <c r="AF128" s="26"/>
      <c r="AG128" s="26" t="s">
        <v>150</v>
      </c>
      <c r="AH128" s="26" t="s">
        <v>129</v>
      </c>
      <c r="AI128" s="26"/>
    </row>
    <row r="129" customFormat="false" ht="219.75" hidden="false" customHeight="true" outlineLevel="0" collapsed="false">
      <c r="A129" s="20" t="n">
        <v>125</v>
      </c>
      <c r="B129" s="21" t="n">
        <v>46500</v>
      </c>
      <c r="C129" s="20" t="s">
        <v>200</v>
      </c>
      <c r="D129" s="20" t="n">
        <v>25</v>
      </c>
      <c r="E129" s="20" t="s">
        <v>1814</v>
      </c>
      <c r="F129" s="20" t="s">
        <v>1815</v>
      </c>
      <c r="G129" s="20" t="s">
        <v>201</v>
      </c>
      <c r="H129" s="20" t="s">
        <v>132</v>
      </c>
      <c r="I129" s="20" t="s">
        <v>133</v>
      </c>
      <c r="J129" s="20" t="s">
        <v>134</v>
      </c>
      <c r="K129" s="20" t="s">
        <v>2064</v>
      </c>
      <c r="L129" s="20" t="s">
        <v>2065</v>
      </c>
      <c r="M129" s="20" t="s">
        <v>2066</v>
      </c>
      <c r="N129" s="20" t="s">
        <v>2067</v>
      </c>
      <c r="O129" s="20" t="s">
        <v>2068</v>
      </c>
      <c r="P129" s="20" t="s">
        <v>2069</v>
      </c>
      <c r="Q129" s="20" t="s">
        <v>2070</v>
      </c>
      <c r="R129" s="20" t="s">
        <v>2071</v>
      </c>
      <c r="S129" s="20" t="s">
        <v>2072</v>
      </c>
      <c r="T129" s="20" t="s">
        <v>2073</v>
      </c>
      <c r="U129" s="20" t="s">
        <v>2074</v>
      </c>
      <c r="V129" s="22" t="s">
        <v>2075</v>
      </c>
      <c r="W129" s="20" t="s">
        <v>2076</v>
      </c>
      <c r="X129" s="20" t="s">
        <v>2077</v>
      </c>
      <c r="Y129" s="20" t="s">
        <v>123</v>
      </c>
      <c r="Z129" s="20" t="s">
        <v>149</v>
      </c>
      <c r="AA129" s="20"/>
      <c r="AB129" s="20"/>
      <c r="AC129" s="20"/>
      <c r="AD129" s="20"/>
      <c r="AE129" s="20"/>
      <c r="AF129" s="20"/>
      <c r="AG129" s="20" t="s">
        <v>216</v>
      </c>
      <c r="AH129" s="20" t="s">
        <v>129</v>
      </c>
      <c r="AI129" s="20"/>
    </row>
    <row r="130" customFormat="false" ht="219.75" hidden="false" customHeight="true" outlineLevel="0" collapsed="false">
      <c r="A130" s="17" t="n">
        <v>126</v>
      </c>
      <c r="B130" s="18" t="n">
        <v>46503</v>
      </c>
      <c r="C130" s="17" t="s">
        <v>102</v>
      </c>
      <c r="D130" s="17" t="n">
        <v>26</v>
      </c>
      <c r="E130" s="17" t="s">
        <v>1814</v>
      </c>
      <c r="F130" s="17" t="s">
        <v>1815</v>
      </c>
      <c r="G130" s="17" t="s">
        <v>105</v>
      </c>
      <c r="H130" s="17" t="s">
        <v>106</v>
      </c>
      <c r="I130" s="17" t="s">
        <v>107</v>
      </c>
      <c r="J130" s="17" t="s">
        <v>108</v>
      </c>
      <c r="K130" s="17" t="s">
        <v>2078</v>
      </c>
      <c r="L130" s="17" t="s">
        <v>2079</v>
      </c>
      <c r="M130" s="17" t="s">
        <v>2080</v>
      </c>
      <c r="N130" s="17" t="s">
        <v>2081</v>
      </c>
      <c r="O130" s="17" t="s">
        <v>2082</v>
      </c>
      <c r="P130" s="17" t="s">
        <v>2083</v>
      </c>
      <c r="Q130" s="17" t="s">
        <v>2084</v>
      </c>
      <c r="R130" s="17" t="s">
        <v>2085</v>
      </c>
      <c r="S130" s="17" t="s">
        <v>2086</v>
      </c>
      <c r="T130" s="17" t="s">
        <v>2087</v>
      </c>
      <c r="U130" s="17" t="s">
        <v>2088</v>
      </c>
      <c r="V130" s="19" t="s">
        <v>2089</v>
      </c>
      <c r="W130" s="17" t="s">
        <v>2090</v>
      </c>
      <c r="X130" s="17" t="s">
        <v>2091</v>
      </c>
      <c r="Y130" s="17" t="s">
        <v>123</v>
      </c>
      <c r="Z130" s="17" t="s">
        <v>124</v>
      </c>
      <c r="AA130" s="17"/>
      <c r="AB130" s="17"/>
      <c r="AC130" s="17"/>
      <c r="AD130" s="17" t="s">
        <v>231</v>
      </c>
      <c r="AE130" s="17" t="s">
        <v>2092</v>
      </c>
      <c r="AF130" s="17" t="s">
        <v>2093</v>
      </c>
      <c r="AG130" s="17" t="s">
        <v>128</v>
      </c>
      <c r="AH130" s="17" t="s">
        <v>129</v>
      </c>
      <c r="AI130" s="17"/>
    </row>
    <row r="131" customFormat="false" ht="219.75" hidden="false" customHeight="true" outlineLevel="0" collapsed="false">
      <c r="A131" s="20" t="n">
        <v>127</v>
      </c>
      <c r="B131" s="21" t="n">
        <v>46504</v>
      </c>
      <c r="C131" s="20" t="s">
        <v>130</v>
      </c>
      <c r="D131" s="20" t="n">
        <v>26</v>
      </c>
      <c r="E131" s="20" t="s">
        <v>1814</v>
      </c>
      <c r="F131" s="20" t="s">
        <v>1815</v>
      </c>
      <c r="G131" s="20" t="s">
        <v>131</v>
      </c>
      <c r="H131" s="20" t="s">
        <v>132</v>
      </c>
      <c r="I131" s="20" t="s">
        <v>133</v>
      </c>
      <c r="J131" s="20" t="s">
        <v>134</v>
      </c>
      <c r="K131" s="20" t="s">
        <v>2094</v>
      </c>
      <c r="L131" s="20" t="s">
        <v>2095</v>
      </c>
      <c r="M131" s="20" t="s">
        <v>2096</v>
      </c>
      <c r="N131" s="20" t="s">
        <v>2097</v>
      </c>
      <c r="O131" s="20" t="s">
        <v>2098</v>
      </c>
      <c r="P131" s="20" t="s">
        <v>2099</v>
      </c>
      <c r="Q131" s="20" t="s">
        <v>2100</v>
      </c>
      <c r="R131" s="20" t="s">
        <v>2101</v>
      </c>
      <c r="S131" s="20" t="s">
        <v>2102</v>
      </c>
      <c r="T131" s="20" t="s">
        <v>2103</v>
      </c>
      <c r="U131" s="20" t="s">
        <v>2104</v>
      </c>
      <c r="V131" s="22" t="s">
        <v>2105</v>
      </c>
      <c r="W131" s="20" t="s">
        <v>2106</v>
      </c>
      <c r="X131" s="20" t="s">
        <v>2107</v>
      </c>
      <c r="Y131" s="20" t="s">
        <v>123</v>
      </c>
      <c r="Z131" s="20" t="s">
        <v>149</v>
      </c>
      <c r="AA131" s="20"/>
      <c r="AB131" s="20"/>
      <c r="AC131" s="20"/>
      <c r="AD131" s="20"/>
      <c r="AE131" s="20"/>
      <c r="AF131" s="20"/>
      <c r="AG131" s="20" t="s">
        <v>150</v>
      </c>
      <c r="AH131" s="20" t="s">
        <v>129</v>
      </c>
      <c r="AI131" s="20"/>
    </row>
    <row r="132" customFormat="false" ht="219.75" hidden="false" customHeight="true" outlineLevel="0" collapsed="false">
      <c r="A132" s="23" t="n">
        <v>128</v>
      </c>
      <c r="B132" s="24" t="n">
        <v>46505</v>
      </c>
      <c r="C132" s="23" t="s">
        <v>151</v>
      </c>
      <c r="D132" s="23" t="n">
        <v>26</v>
      </c>
      <c r="E132" s="23" t="s">
        <v>1814</v>
      </c>
      <c r="F132" s="23" t="s">
        <v>1815</v>
      </c>
      <c r="G132" s="23" t="s">
        <v>152</v>
      </c>
      <c r="H132" s="23" t="s">
        <v>153</v>
      </c>
      <c r="I132" s="23" t="s">
        <v>154</v>
      </c>
      <c r="J132" s="23" t="s">
        <v>155</v>
      </c>
      <c r="K132" s="23" t="s">
        <v>2108</v>
      </c>
      <c r="L132" s="23" t="s">
        <v>2109</v>
      </c>
      <c r="M132" s="23" t="s">
        <v>2110</v>
      </c>
      <c r="N132" s="23" t="s">
        <v>2111</v>
      </c>
      <c r="O132" s="23" t="s">
        <v>2112</v>
      </c>
      <c r="P132" s="23" t="s">
        <v>2113</v>
      </c>
      <c r="Q132" s="23" t="s">
        <v>2114</v>
      </c>
      <c r="R132" s="23" t="s">
        <v>2115</v>
      </c>
      <c r="S132" s="23" t="s">
        <v>2116</v>
      </c>
      <c r="T132" s="23" t="s">
        <v>165</v>
      </c>
      <c r="U132" s="23" t="s">
        <v>2117</v>
      </c>
      <c r="V132" s="25" t="s">
        <v>2118</v>
      </c>
      <c r="W132" s="23" t="s">
        <v>2119</v>
      </c>
      <c r="X132" s="23" t="s">
        <v>2120</v>
      </c>
      <c r="Y132" s="23" t="s">
        <v>170</v>
      </c>
      <c r="Z132" s="23" t="s">
        <v>171</v>
      </c>
      <c r="AA132" s="23" t="s">
        <v>2121</v>
      </c>
      <c r="AB132" s="23" t="s">
        <v>2122</v>
      </c>
      <c r="AC132" s="23" t="s">
        <v>2123</v>
      </c>
      <c r="AD132" s="23"/>
      <c r="AE132" s="23"/>
      <c r="AF132" s="23"/>
      <c r="AG132" s="23" t="s">
        <v>175</v>
      </c>
      <c r="AH132" s="23" t="s">
        <v>129</v>
      </c>
      <c r="AI132" s="23"/>
    </row>
    <row r="133" customFormat="false" ht="219.75" hidden="false" customHeight="true" outlineLevel="0" collapsed="false">
      <c r="A133" s="26" t="n">
        <v>129</v>
      </c>
      <c r="B133" s="27" t="n">
        <v>46506</v>
      </c>
      <c r="C133" s="26" t="s">
        <v>176</v>
      </c>
      <c r="D133" s="26" t="n">
        <v>26</v>
      </c>
      <c r="E133" s="26" t="s">
        <v>1814</v>
      </c>
      <c r="F133" s="26" t="s">
        <v>1815</v>
      </c>
      <c r="G133" s="26" t="s">
        <v>177</v>
      </c>
      <c r="H133" s="26" t="s">
        <v>178</v>
      </c>
      <c r="I133" s="26" t="s">
        <v>179</v>
      </c>
      <c r="J133" s="26" t="s">
        <v>180</v>
      </c>
      <c r="K133" s="26" t="s">
        <v>2124</v>
      </c>
      <c r="L133" s="26" t="s">
        <v>2125</v>
      </c>
      <c r="M133" s="26" t="s">
        <v>2126</v>
      </c>
      <c r="N133" s="26" t="s">
        <v>2127</v>
      </c>
      <c r="O133" s="26" t="s">
        <v>2128</v>
      </c>
      <c r="P133" s="26" t="s">
        <v>2129</v>
      </c>
      <c r="Q133" s="26" t="s">
        <v>2130</v>
      </c>
      <c r="R133" s="26" t="s">
        <v>2131</v>
      </c>
      <c r="S133" s="26" t="s">
        <v>2132</v>
      </c>
      <c r="T133" s="26" t="s">
        <v>2133</v>
      </c>
      <c r="U133" s="26" t="s">
        <v>2134</v>
      </c>
      <c r="V133" s="28" t="s">
        <v>2135</v>
      </c>
      <c r="W133" s="26" t="s">
        <v>2136</v>
      </c>
      <c r="X133" s="26" t="s">
        <v>2137</v>
      </c>
      <c r="Y133" s="26" t="s">
        <v>195</v>
      </c>
      <c r="Z133" s="26" t="s">
        <v>196</v>
      </c>
      <c r="AA133" s="26" t="s">
        <v>2138</v>
      </c>
      <c r="AB133" s="26" t="s">
        <v>2139</v>
      </c>
      <c r="AC133" s="26" t="s">
        <v>2140</v>
      </c>
      <c r="AD133" s="26"/>
      <c r="AE133" s="26"/>
      <c r="AF133" s="26"/>
      <c r="AG133" s="26" t="s">
        <v>150</v>
      </c>
      <c r="AH133" s="26" t="s">
        <v>129</v>
      </c>
      <c r="AI133" s="26"/>
    </row>
    <row r="134" customFormat="false" ht="219.75" hidden="false" customHeight="true" outlineLevel="0" collapsed="false">
      <c r="A134" s="20" t="n">
        <v>130</v>
      </c>
      <c r="B134" s="21" t="n">
        <v>46507</v>
      </c>
      <c r="C134" s="20" t="s">
        <v>200</v>
      </c>
      <c r="D134" s="20" t="n">
        <v>26</v>
      </c>
      <c r="E134" s="20" t="s">
        <v>1814</v>
      </c>
      <c r="F134" s="20" t="s">
        <v>1815</v>
      </c>
      <c r="G134" s="20" t="s">
        <v>201</v>
      </c>
      <c r="H134" s="20" t="s">
        <v>132</v>
      </c>
      <c r="I134" s="20" t="s">
        <v>133</v>
      </c>
      <c r="J134" s="20" t="s">
        <v>134</v>
      </c>
      <c r="K134" s="20" t="s">
        <v>2141</v>
      </c>
      <c r="L134" s="20" t="s">
        <v>2142</v>
      </c>
      <c r="M134" s="20" t="s">
        <v>2143</v>
      </c>
      <c r="N134" s="20" t="s">
        <v>2144</v>
      </c>
      <c r="O134" s="20" t="s">
        <v>2145</v>
      </c>
      <c r="P134" s="20" t="s">
        <v>2146</v>
      </c>
      <c r="Q134" s="20" t="s">
        <v>2147</v>
      </c>
      <c r="R134" s="20" t="s">
        <v>2148</v>
      </c>
      <c r="S134" s="20" t="s">
        <v>2149</v>
      </c>
      <c r="T134" s="20" t="s">
        <v>2150</v>
      </c>
      <c r="U134" s="20" t="s">
        <v>2151</v>
      </c>
      <c r="V134" s="22" t="s">
        <v>2152</v>
      </c>
      <c r="W134" s="20" t="s">
        <v>2153</v>
      </c>
      <c r="X134" s="20" t="s">
        <v>2154</v>
      </c>
      <c r="Y134" s="20" t="s">
        <v>123</v>
      </c>
      <c r="Z134" s="20" t="s">
        <v>149</v>
      </c>
      <c r="AA134" s="20"/>
      <c r="AB134" s="20"/>
      <c r="AC134" s="20"/>
      <c r="AD134" s="20"/>
      <c r="AE134" s="20"/>
      <c r="AF134" s="20"/>
      <c r="AG134" s="20" t="s">
        <v>216</v>
      </c>
      <c r="AH134" s="20" t="s">
        <v>129</v>
      </c>
      <c r="AI134" s="20"/>
    </row>
  </sheetData>
  <autoFilter ref="A4:AI134"/>
  <conditionalFormatting sqref="AH5:AH134">
    <cfRule type="expression" priority="2" aboveAverage="0" equalAverage="0" bottom="0" percent="0" rank="0" text="" dxfId="8">
      <formula>$AH5="Posted"</formula>
    </cfRule>
    <cfRule type="expression" priority="3" aboveAverage="0" equalAverage="0" bottom="0" percent="0" rank="0" text="" dxfId="9">
      <formula>$AH5="Scheduled"</formula>
    </cfRule>
  </conditionalFormatting>
  <dataValidations count="1">
    <dataValidation allowBlank="true" errorStyle="stop" operator="between" showDropDown="false" showErrorMessage="false" showInputMessage="false" sqref="AH5:AH134" type="list">
      <formula1>"Planned,Writing,Designing,Ready,Scheduled,Posted,Skipped"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1A46"/>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20"/>
    <col collapsed="false" customWidth="true" hidden="false" outlineLevel="0" max="4" min="4" style="0" width="26"/>
    <col collapsed="false" customWidth="true" hidden="false" outlineLevel="0" max="5" min="5" style="0" width="34"/>
    <col collapsed="false" customWidth="true" hidden="false" outlineLevel="0" max="6" min="6" style="0" width="70"/>
    <col collapsed="false" customWidth="true" hidden="false" outlineLevel="0" max="7" min="7" style="0" width="90"/>
  </cols>
  <sheetData>
    <row r="1" customFormat="false" ht="22.05" hidden="false" customHeight="false" outlineLevel="0" collapsed="false">
      <c r="A1" s="1" t="s">
        <v>2155</v>
      </c>
    </row>
    <row r="2" customFormat="false" ht="15" hidden="false" customHeight="false" outlineLevel="0" collapsed="false">
      <c r="A2" s="2" t="s">
        <v>2156</v>
      </c>
    </row>
    <row r="4" customFormat="false" ht="15" hidden="false" customHeight="false" outlineLevel="0" collapsed="false">
      <c r="A4" s="15" t="s">
        <v>67</v>
      </c>
      <c r="B4" s="15" t="s">
        <v>2157</v>
      </c>
      <c r="C4" s="15" t="s">
        <v>2158</v>
      </c>
      <c r="D4" s="15" t="s">
        <v>2159</v>
      </c>
      <c r="E4" s="15" t="s">
        <v>2160</v>
      </c>
      <c r="F4" s="15" t="s">
        <v>2161</v>
      </c>
      <c r="G4" s="15" t="s">
        <v>2162</v>
      </c>
    </row>
    <row r="5" customFormat="false" ht="259.5" hidden="false" customHeight="true" outlineLevel="0" collapsed="false">
      <c r="A5" s="17" t="n">
        <v>1</v>
      </c>
      <c r="B5" s="29" t="s">
        <v>2163</v>
      </c>
      <c r="C5" s="17" t="s">
        <v>2164</v>
      </c>
      <c r="D5" s="17" t="s">
        <v>2165</v>
      </c>
      <c r="E5" s="17" t="s">
        <v>2166</v>
      </c>
      <c r="F5" s="17" t="s">
        <v>2167</v>
      </c>
      <c r="G5" s="17" t="s">
        <v>2168</v>
      </c>
    </row>
    <row r="6" customFormat="false" ht="259.5" hidden="false" customHeight="true" outlineLevel="0" collapsed="false">
      <c r="A6" s="17" t="n">
        <v>2</v>
      </c>
      <c r="B6" s="29" t="s">
        <v>2169</v>
      </c>
      <c r="C6" s="17" t="s">
        <v>2170</v>
      </c>
      <c r="D6" s="17" t="s">
        <v>2171</v>
      </c>
      <c r="E6" s="17" t="s">
        <v>2172</v>
      </c>
      <c r="F6" s="17" t="s">
        <v>2173</v>
      </c>
      <c r="G6" s="17" t="s">
        <v>2174</v>
      </c>
    </row>
    <row r="7" customFormat="false" ht="259.5" hidden="false" customHeight="true" outlineLevel="0" collapsed="false">
      <c r="A7" s="17" t="n">
        <v>3</v>
      </c>
      <c r="B7" s="29" t="s">
        <v>2175</v>
      </c>
      <c r="C7" s="17" t="s">
        <v>2164</v>
      </c>
      <c r="D7" s="17" t="s">
        <v>2176</v>
      </c>
      <c r="E7" s="17" t="s">
        <v>2177</v>
      </c>
      <c r="F7" s="17" t="s">
        <v>2178</v>
      </c>
      <c r="G7" s="17" t="s">
        <v>2179</v>
      </c>
    </row>
    <row r="8" customFormat="false" ht="259.5" hidden="false" customHeight="true" outlineLevel="0" collapsed="false">
      <c r="A8" s="30" t="n">
        <v>4</v>
      </c>
      <c r="B8" s="31" t="s">
        <v>2180</v>
      </c>
      <c r="C8" s="30" t="s">
        <v>2181</v>
      </c>
      <c r="D8" s="30" t="s">
        <v>2182</v>
      </c>
      <c r="E8" s="30" t="s">
        <v>2183</v>
      </c>
      <c r="F8" s="30" t="s">
        <v>2184</v>
      </c>
      <c r="G8" s="30" t="s">
        <v>2185</v>
      </c>
    </row>
    <row r="9" customFormat="false" ht="259.5" hidden="false" customHeight="true" outlineLevel="0" collapsed="false">
      <c r="A9" s="30" t="n">
        <v>5</v>
      </c>
      <c r="B9" s="31" t="s">
        <v>2186</v>
      </c>
      <c r="C9" s="30" t="s">
        <v>2187</v>
      </c>
      <c r="D9" s="30" t="s">
        <v>2188</v>
      </c>
      <c r="E9" s="30" t="s">
        <v>2189</v>
      </c>
      <c r="F9" s="30" t="s">
        <v>2190</v>
      </c>
      <c r="G9" s="30" t="s">
        <v>2191</v>
      </c>
    </row>
    <row r="10" customFormat="false" ht="259.5" hidden="false" customHeight="true" outlineLevel="0" collapsed="false">
      <c r="A10" s="30" t="n">
        <v>6</v>
      </c>
      <c r="B10" s="31" t="s">
        <v>2192</v>
      </c>
      <c r="C10" s="30" t="s">
        <v>2181</v>
      </c>
      <c r="D10" s="30" t="s">
        <v>2193</v>
      </c>
      <c r="E10" s="30" t="s">
        <v>2194</v>
      </c>
      <c r="F10" s="30" t="s">
        <v>2195</v>
      </c>
      <c r="G10" s="30" t="s">
        <v>2196</v>
      </c>
    </row>
    <row r="11" customFormat="false" ht="120" hidden="false" customHeight="true" outlineLevel="0" collapsed="false">
      <c r="A11" s="6" t="n">
        <v>7</v>
      </c>
      <c r="B11" s="5" t="s">
        <v>2197</v>
      </c>
      <c r="C11" s="6" t="s">
        <v>2198</v>
      </c>
      <c r="D11" s="6" t="s">
        <v>2199</v>
      </c>
      <c r="E11" s="6" t="s">
        <v>2200</v>
      </c>
      <c r="F11" s="6" t="s">
        <v>2201</v>
      </c>
      <c r="G11" s="6"/>
    </row>
    <row r="12" customFormat="false" ht="120" hidden="false" customHeight="true" outlineLevel="0" collapsed="false">
      <c r="A12" s="6" t="n">
        <v>8</v>
      </c>
      <c r="B12" s="5" t="s">
        <v>2202</v>
      </c>
      <c r="C12" s="6" t="s">
        <v>2203</v>
      </c>
      <c r="D12" s="6" t="s">
        <v>2204</v>
      </c>
      <c r="E12" s="6" t="s">
        <v>2205</v>
      </c>
      <c r="F12" s="6" t="s">
        <v>2206</v>
      </c>
      <c r="G12" s="6"/>
    </row>
    <row r="13" customFormat="false" ht="120" hidden="false" customHeight="true" outlineLevel="0" collapsed="false">
      <c r="A13" s="6" t="n">
        <v>9</v>
      </c>
      <c r="B13" s="5" t="s">
        <v>2207</v>
      </c>
      <c r="C13" s="6" t="s">
        <v>2208</v>
      </c>
      <c r="D13" s="6" t="s">
        <v>2209</v>
      </c>
      <c r="E13" s="6" t="s">
        <v>2210</v>
      </c>
      <c r="F13" s="6" t="s">
        <v>2211</v>
      </c>
      <c r="G13" s="6" t="s">
        <v>2212</v>
      </c>
    </row>
    <row r="14" customFormat="false" ht="120" hidden="false" customHeight="true" outlineLevel="0" collapsed="false">
      <c r="A14" s="6" t="n">
        <v>10</v>
      </c>
      <c r="B14" s="5" t="s">
        <v>2213</v>
      </c>
      <c r="C14" s="6" t="s">
        <v>2214</v>
      </c>
      <c r="D14" s="6" t="s">
        <v>2215</v>
      </c>
      <c r="E14" s="6" t="s">
        <v>2216</v>
      </c>
      <c r="F14" s="6" t="s">
        <v>2217</v>
      </c>
      <c r="G14" s="6"/>
    </row>
    <row r="16" customFormat="false" ht="15" hidden="false" customHeight="false" outlineLevel="0" collapsed="false">
      <c r="B16" s="32" t="s">
        <v>2218</v>
      </c>
    </row>
    <row r="17" customFormat="false" ht="30" hidden="false" customHeight="true" outlineLevel="0" collapsed="false">
      <c r="B17" s="5" t="s">
        <v>2219</v>
      </c>
      <c r="C17" s="6" t="s">
        <v>2220</v>
      </c>
      <c r="D17" s="6"/>
      <c r="E17" s="6"/>
      <c r="F17" s="6"/>
    </row>
    <row r="18" customFormat="false" ht="30" hidden="false" customHeight="true" outlineLevel="0" collapsed="false">
      <c r="B18" s="5" t="s">
        <v>2221</v>
      </c>
      <c r="C18" s="6" t="s">
        <v>2222</v>
      </c>
      <c r="D18" s="6"/>
      <c r="E18" s="6"/>
      <c r="F18" s="6"/>
    </row>
    <row r="19" customFormat="false" ht="30" hidden="false" customHeight="true" outlineLevel="0" collapsed="false">
      <c r="B19" s="5" t="s">
        <v>2223</v>
      </c>
      <c r="C19" s="6" t="s">
        <v>2224</v>
      </c>
      <c r="D19" s="6"/>
      <c r="E19" s="6"/>
      <c r="F19" s="6"/>
    </row>
    <row r="20" customFormat="false" ht="30" hidden="false" customHeight="true" outlineLevel="0" collapsed="false">
      <c r="B20" s="5" t="s">
        <v>2225</v>
      </c>
      <c r="C20" s="6" t="s">
        <v>2226</v>
      </c>
      <c r="D20" s="6"/>
      <c r="E20" s="6"/>
      <c r="F20" s="6"/>
    </row>
    <row r="21" customFormat="false" ht="30" hidden="false" customHeight="true" outlineLevel="0" collapsed="false">
      <c r="B21" s="5" t="s">
        <v>2227</v>
      </c>
      <c r="C21" s="6" t="s">
        <v>2228</v>
      </c>
      <c r="D21" s="6"/>
      <c r="E21" s="6"/>
      <c r="F21" s="6"/>
    </row>
    <row r="22" customFormat="false" ht="30" hidden="false" customHeight="true" outlineLevel="0" collapsed="false">
      <c r="B22" s="5" t="s">
        <v>2229</v>
      </c>
      <c r="C22" s="6" t="s">
        <v>2230</v>
      </c>
      <c r="D22" s="6"/>
      <c r="E22" s="6"/>
      <c r="F22" s="6"/>
    </row>
    <row r="23" customFormat="false" ht="30" hidden="false" customHeight="true" outlineLevel="0" collapsed="false">
      <c r="B23" s="5" t="s">
        <v>2231</v>
      </c>
      <c r="C23" s="6" t="s">
        <v>2232</v>
      </c>
      <c r="D23" s="6"/>
      <c r="E23" s="6"/>
      <c r="F23" s="6"/>
    </row>
    <row r="24" customFormat="false" ht="30" hidden="false" customHeight="true" outlineLevel="0" collapsed="false">
      <c r="B24" s="5" t="s">
        <v>2233</v>
      </c>
      <c r="C24" s="6" t="s">
        <v>2234</v>
      </c>
      <c r="D24" s="6"/>
      <c r="E24" s="6"/>
      <c r="F24" s="6"/>
    </row>
    <row r="25" customFormat="false" ht="45" hidden="false" customHeight="true" outlineLevel="0" collapsed="false">
      <c r="B25" s="5" t="s">
        <v>2235</v>
      </c>
      <c r="C25" s="6" t="s">
        <v>2236</v>
      </c>
      <c r="D25" s="6"/>
      <c r="E25" s="6"/>
      <c r="F25" s="6"/>
    </row>
  </sheetData>
  <mergeCells count="9">
    <mergeCell ref="C17:F17"/>
    <mergeCell ref="C18:F18"/>
    <mergeCell ref="C19:F19"/>
    <mergeCell ref="C20:F20"/>
    <mergeCell ref="C21:F21"/>
    <mergeCell ref="C22:F22"/>
    <mergeCell ref="C23:F23"/>
    <mergeCell ref="C24:F24"/>
    <mergeCell ref="C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1A46"/>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14"/>
    <col collapsed="false" customWidth="true" hidden="false" outlineLevel="0" max="5" min="4" style="0" width="32"/>
    <col collapsed="false" customWidth="true" hidden="false" outlineLevel="0" max="6" min="6" style="0" width="40"/>
    <col collapsed="false" customWidth="true" hidden="false" outlineLevel="0" max="8" min="7" style="0" width="9"/>
    <col collapsed="false" customWidth="true" hidden="false" outlineLevel="0" max="9" min="9" style="0" width="40"/>
  </cols>
  <sheetData>
    <row r="1" customFormat="false" ht="22.05" hidden="false" customHeight="false" outlineLevel="0" collapsed="false">
      <c r="A1" s="1" t="s">
        <v>2237</v>
      </c>
    </row>
    <row r="2" customFormat="false" ht="15" hidden="false" customHeight="false" outlineLevel="0" collapsed="false">
      <c r="A2" s="2" t="s">
        <v>2238</v>
      </c>
    </row>
    <row r="4" customFormat="false" ht="15" hidden="false" customHeight="false" outlineLevel="0" collapsed="false">
      <c r="A4" s="15" t="s">
        <v>69</v>
      </c>
      <c r="B4" s="15" t="s">
        <v>73</v>
      </c>
      <c r="C4" s="15" t="s">
        <v>2239</v>
      </c>
      <c r="D4" s="15" t="s">
        <v>2164</v>
      </c>
      <c r="E4" s="15" t="s">
        <v>2240</v>
      </c>
      <c r="F4" s="15" t="s">
        <v>2241</v>
      </c>
      <c r="G4" s="15" t="s">
        <v>2242</v>
      </c>
      <c r="H4" s="15" t="s">
        <v>2243</v>
      </c>
      <c r="I4" s="15" t="s">
        <v>2244</v>
      </c>
    </row>
    <row r="5" customFormat="false" ht="45" hidden="false" customHeight="true" outlineLevel="0" collapsed="false">
      <c r="A5" s="29" t="s">
        <v>102</v>
      </c>
      <c r="B5" s="17" t="s">
        <v>105</v>
      </c>
      <c r="C5" s="17" t="s">
        <v>106</v>
      </c>
      <c r="D5" s="17" t="s">
        <v>107</v>
      </c>
      <c r="E5" s="17" t="s">
        <v>108</v>
      </c>
      <c r="F5" s="17" t="s">
        <v>124</v>
      </c>
      <c r="G5" s="17" t="s">
        <v>2245</v>
      </c>
      <c r="H5" s="17" t="s">
        <v>2246</v>
      </c>
      <c r="I5" s="17" t="s">
        <v>2247</v>
      </c>
    </row>
    <row r="6" customFormat="false" ht="45" hidden="false" customHeight="true" outlineLevel="0" collapsed="false">
      <c r="A6" s="33" t="s">
        <v>130</v>
      </c>
      <c r="B6" s="20" t="s">
        <v>131</v>
      </c>
      <c r="C6" s="20" t="s">
        <v>132</v>
      </c>
      <c r="D6" s="20" t="s">
        <v>133</v>
      </c>
      <c r="E6" s="20" t="s">
        <v>134</v>
      </c>
      <c r="F6" s="20" t="s">
        <v>149</v>
      </c>
      <c r="G6" s="20" t="s">
        <v>2245</v>
      </c>
      <c r="H6" s="20" t="s">
        <v>2248</v>
      </c>
      <c r="I6" s="20" t="s">
        <v>2249</v>
      </c>
    </row>
    <row r="7" customFormat="false" ht="45" hidden="false" customHeight="true" outlineLevel="0" collapsed="false">
      <c r="A7" s="34" t="s">
        <v>151</v>
      </c>
      <c r="B7" s="23" t="s">
        <v>152</v>
      </c>
      <c r="C7" s="23" t="s">
        <v>153</v>
      </c>
      <c r="D7" s="23" t="s">
        <v>154</v>
      </c>
      <c r="E7" s="23" t="s">
        <v>155</v>
      </c>
      <c r="F7" s="23" t="s">
        <v>171</v>
      </c>
      <c r="G7" s="23" t="s">
        <v>2250</v>
      </c>
      <c r="H7" s="23" t="s">
        <v>2251</v>
      </c>
      <c r="I7" s="23" t="s">
        <v>2252</v>
      </c>
    </row>
    <row r="8" customFormat="false" ht="45" hidden="false" customHeight="true" outlineLevel="0" collapsed="false">
      <c r="A8" s="35" t="s">
        <v>176</v>
      </c>
      <c r="B8" s="26" t="s">
        <v>177</v>
      </c>
      <c r="C8" s="26" t="s">
        <v>178</v>
      </c>
      <c r="D8" s="26" t="s">
        <v>179</v>
      </c>
      <c r="E8" s="26" t="s">
        <v>180</v>
      </c>
      <c r="F8" s="26" t="s">
        <v>196</v>
      </c>
      <c r="G8" s="26" t="s">
        <v>2245</v>
      </c>
      <c r="H8" s="26" t="s">
        <v>2248</v>
      </c>
      <c r="I8" s="26" t="s">
        <v>2253</v>
      </c>
    </row>
    <row r="9" customFormat="false" ht="45" hidden="false" customHeight="true" outlineLevel="0" collapsed="false">
      <c r="A9" s="33" t="s">
        <v>200</v>
      </c>
      <c r="B9" s="20" t="s">
        <v>201</v>
      </c>
      <c r="C9" s="20" t="s">
        <v>132</v>
      </c>
      <c r="D9" s="20" t="s">
        <v>133</v>
      </c>
      <c r="E9" s="20" t="s">
        <v>134</v>
      </c>
      <c r="F9" s="20" t="s">
        <v>149</v>
      </c>
      <c r="G9" s="20" t="s">
        <v>2254</v>
      </c>
      <c r="H9" s="20" t="s">
        <v>2246</v>
      </c>
      <c r="I9" s="20" t="s">
        <v>2255</v>
      </c>
    </row>
    <row r="11" customFormat="false" ht="15" hidden="false" customHeight="false" outlineLevel="0" collapsed="false">
      <c r="A11" s="32" t="s">
        <v>2256</v>
      </c>
    </row>
    <row r="12" customFormat="false" ht="15" hidden="false" customHeight="false" outlineLevel="0" collapsed="false">
      <c r="A12" s="36" t="s">
        <v>2257</v>
      </c>
      <c r="B12" s="36"/>
      <c r="C12" s="36"/>
      <c r="D12" s="36"/>
      <c r="E12" s="36"/>
      <c r="F12" s="36"/>
      <c r="G12" s="36"/>
      <c r="H12" s="36"/>
      <c r="I12" s="36"/>
    </row>
    <row r="13" customFormat="false" ht="15" hidden="false" customHeight="false" outlineLevel="0" collapsed="false">
      <c r="A13" s="36" t="s">
        <v>2258</v>
      </c>
      <c r="B13" s="36"/>
      <c r="C13" s="36"/>
      <c r="D13" s="36"/>
      <c r="E13" s="36"/>
      <c r="F13" s="36"/>
      <c r="G13" s="36"/>
      <c r="H13" s="36"/>
      <c r="I13" s="36"/>
    </row>
    <row r="14" customFormat="false" ht="15" hidden="false" customHeight="false" outlineLevel="0" collapsed="false">
      <c r="A14" s="36" t="s">
        <v>2259</v>
      </c>
      <c r="B14" s="36"/>
      <c r="C14" s="36"/>
      <c r="D14" s="36"/>
      <c r="E14" s="36"/>
      <c r="F14" s="36"/>
      <c r="G14" s="36"/>
      <c r="H14" s="36"/>
      <c r="I14" s="36"/>
    </row>
    <row r="15" customFormat="false" ht="15" hidden="false" customHeight="false" outlineLevel="0" collapsed="false">
      <c r="A15" s="36" t="s">
        <v>2260</v>
      </c>
      <c r="B15" s="36"/>
      <c r="C15" s="36"/>
      <c r="D15" s="36"/>
      <c r="E15" s="36"/>
      <c r="F15" s="36"/>
      <c r="G15" s="36"/>
      <c r="H15" s="36"/>
      <c r="I15" s="36"/>
    </row>
    <row r="16" customFormat="false" ht="15" hidden="false" customHeight="false" outlineLevel="0" collapsed="false">
      <c r="A16" s="36" t="s">
        <v>2261</v>
      </c>
      <c r="B16" s="36"/>
      <c r="C16" s="36"/>
      <c r="D16" s="36"/>
      <c r="E16" s="36"/>
      <c r="F16" s="36"/>
      <c r="G16" s="36"/>
      <c r="H16" s="36"/>
      <c r="I16" s="36"/>
    </row>
  </sheetData>
  <mergeCells count="5">
    <mergeCell ref="A12:I12"/>
    <mergeCell ref="A13:I13"/>
    <mergeCell ref="A14:I14"/>
    <mergeCell ref="A15:I15"/>
    <mergeCell ref="A16:I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1A46"/>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60"/>
    <col collapsed="false" customWidth="true" hidden="false" outlineLevel="0" max="5" min="4" style="0" width="8"/>
    <col collapsed="false" customWidth="true" hidden="false" outlineLevel="0" max="6" min="6" style="0" width="10"/>
    <col collapsed="false" customWidth="true" hidden="false" outlineLevel="0" max="7" min="7" style="0" width="8"/>
    <col collapsed="false" customWidth="true" hidden="false" outlineLevel="0" max="8" min="8" style="0" width="11"/>
  </cols>
  <sheetData>
    <row r="1" customFormat="false" ht="22.05" hidden="false" customHeight="false" outlineLevel="0" collapsed="false">
      <c r="A1" s="1" t="s">
        <v>2262</v>
      </c>
    </row>
    <row r="4" customFormat="false" ht="23.85" hidden="false" customHeight="false" outlineLevel="0" collapsed="false">
      <c r="A4" s="15" t="s">
        <v>71</v>
      </c>
      <c r="B4" s="15" t="s">
        <v>2263</v>
      </c>
      <c r="C4" s="15" t="s">
        <v>2244</v>
      </c>
      <c r="D4" s="15" t="s">
        <v>2264</v>
      </c>
      <c r="E4" s="15" t="s">
        <v>2265</v>
      </c>
      <c r="F4" s="15" t="s">
        <v>2266</v>
      </c>
      <c r="G4" s="15" t="s">
        <v>40</v>
      </c>
      <c r="H4" s="15" t="s">
        <v>2267</v>
      </c>
    </row>
    <row r="5" customFormat="false" ht="34.5" hidden="false" customHeight="true" outlineLevel="0" collapsed="false">
      <c r="A5" s="5" t="s">
        <v>103</v>
      </c>
      <c r="B5" s="6" t="s">
        <v>104</v>
      </c>
      <c r="C5" s="6" t="s">
        <v>2268</v>
      </c>
      <c r="D5" s="6" t="n">
        <f aca="false">COUNTIF('Content Calendar'!E$5:E$134,A5)</f>
        <v>21</v>
      </c>
      <c r="E5" s="6" t="n">
        <f aca="false">COUNTIFS('Content Calendar'!E$5:E$134,A5,'Content Calendar'!H$5:H$134,"SLIDE")</f>
        <v>5</v>
      </c>
      <c r="F5" s="6" t="n">
        <f aca="false">COUNTIFS('Content Calendar'!E$5:E$134,A5,'Content Calendar'!H$5:H$134,"POST")</f>
        <v>8</v>
      </c>
      <c r="G5" s="6" t="n">
        <f aca="false">COUNTIFS('Content Calendar'!E$5:E$134,A5,'Content Calendar'!H$5:H$134,"REEL")</f>
        <v>4</v>
      </c>
      <c r="H5" s="6" t="n">
        <f aca="false">COUNTIFS('Content Calendar'!E$5:E$134,A5,'Content Calendar'!H$5:H$134,"LONG_VIDEO")</f>
        <v>4</v>
      </c>
    </row>
    <row r="6" customFormat="false" ht="34.5" hidden="false" customHeight="true" outlineLevel="0" collapsed="false">
      <c r="A6" s="5" t="s">
        <v>464</v>
      </c>
      <c r="B6" s="6" t="s">
        <v>465</v>
      </c>
      <c r="C6" s="6" t="s">
        <v>2269</v>
      </c>
      <c r="D6" s="6" t="n">
        <f aca="false">COUNTIF('Content Calendar'!E$5:E$134,A6)</f>
        <v>23</v>
      </c>
      <c r="E6" s="6" t="n">
        <f aca="false">COUNTIFS('Content Calendar'!E$5:E$134,A6,'Content Calendar'!H$5:H$134,"SLIDE")</f>
        <v>4</v>
      </c>
      <c r="F6" s="6" t="n">
        <f aca="false">COUNTIFS('Content Calendar'!E$5:E$134,A6,'Content Calendar'!H$5:H$134,"POST")</f>
        <v>9</v>
      </c>
      <c r="G6" s="6" t="n">
        <f aca="false">COUNTIFS('Content Calendar'!E$5:E$134,A6,'Content Calendar'!H$5:H$134,"REEL")</f>
        <v>5</v>
      </c>
      <c r="H6" s="6" t="n">
        <f aca="false">COUNTIFS('Content Calendar'!E$5:E$134,A6,'Content Calendar'!H$5:H$134,"LONG_VIDEO")</f>
        <v>5</v>
      </c>
    </row>
    <row r="7" customFormat="false" ht="34.5" hidden="false" customHeight="true" outlineLevel="0" collapsed="false">
      <c r="A7" s="5" t="s">
        <v>822</v>
      </c>
      <c r="B7" s="6" t="s">
        <v>823</v>
      </c>
      <c r="C7" s="6" t="s">
        <v>2270</v>
      </c>
      <c r="D7" s="6" t="n">
        <f aca="false">COUNTIF('Content Calendar'!E$5:E$134,A7)</f>
        <v>21</v>
      </c>
      <c r="E7" s="6" t="n">
        <f aca="false">COUNTIFS('Content Calendar'!E$5:E$134,A7,'Content Calendar'!H$5:H$134,"SLIDE")</f>
        <v>4</v>
      </c>
      <c r="F7" s="6" t="n">
        <f aca="false">COUNTIFS('Content Calendar'!E$5:E$134,A7,'Content Calendar'!H$5:H$134,"POST")</f>
        <v>9</v>
      </c>
      <c r="G7" s="6" t="n">
        <f aca="false">COUNTIFS('Content Calendar'!E$5:E$134,A7,'Content Calendar'!H$5:H$134,"REEL")</f>
        <v>4</v>
      </c>
      <c r="H7" s="6" t="n">
        <f aca="false">COUNTIFS('Content Calendar'!E$5:E$134,A7,'Content Calendar'!H$5:H$134,"LONG_VIDEO")</f>
        <v>4</v>
      </c>
    </row>
    <row r="8" customFormat="false" ht="34.5" hidden="false" customHeight="true" outlineLevel="0" collapsed="false">
      <c r="A8" s="5" t="s">
        <v>1146</v>
      </c>
      <c r="B8" s="6" t="s">
        <v>1147</v>
      </c>
      <c r="C8" s="6" t="s">
        <v>2271</v>
      </c>
      <c r="D8" s="6" t="n">
        <f aca="false">COUNTIF('Content Calendar'!E$5:E$134,A8)</f>
        <v>20</v>
      </c>
      <c r="E8" s="6" t="n">
        <f aca="false">COUNTIFS('Content Calendar'!E$5:E$134,A8,'Content Calendar'!H$5:H$134,"SLIDE")</f>
        <v>4</v>
      </c>
      <c r="F8" s="6" t="n">
        <f aca="false">COUNTIFS('Content Calendar'!E$5:E$134,A8,'Content Calendar'!H$5:H$134,"POST")</f>
        <v>8</v>
      </c>
      <c r="G8" s="6" t="n">
        <f aca="false">COUNTIFS('Content Calendar'!E$5:E$134,A8,'Content Calendar'!H$5:H$134,"REEL")</f>
        <v>4</v>
      </c>
      <c r="H8" s="6" t="n">
        <f aca="false">COUNTIFS('Content Calendar'!E$5:E$134,A8,'Content Calendar'!H$5:H$134,"LONG_VIDEO")</f>
        <v>4</v>
      </c>
    </row>
    <row r="9" customFormat="false" ht="34.5" hidden="false" customHeight="true" outlineLevel="0" collapsed="false">
      <c r="A9" s="5" t="s">
        <v>1456</v>
      </c>
      <c r="B9" s="6" t="s">
        <v>1457</v>
      </c>
      <c r="C9" s="6" t="s">
        <v>2272</v>
      </c>
      <c r="D9" s="6" t="n">
        <f aca="false">COUNTIF('Content Calendar'!E$5:E$134,A9)</f>
        <v>23</v>
      </c>
      <c r="E9" s="6" t="n">
        <f aca="false">COUNTIFS('Content Calendar'!E$5:E$134,A9,'Content Calendar'!H$5:H$134,"SLIDE")</f>
        <v>5</v>
      </c>
      <c r="F9" s="6" t="n">
        <f aca="false">COUNTIFS('Content Calendar'!E$5:E$134,A9,'Content Calendar'!H$5:H$134,"POST")</f>
        <v>9</v>
      </c>
      <c r="G9" s="6" t="n">
        <f aca="false">COUNTIFS('Content Calendar'!E$5:E$134,A9,'Content Calendar'!H$5:H$134,"REEL")</f>
        <v>5</v>
      </c>
      <c r="H9" s="6" t="n">
        <f aca="false">COUNTIFS('Content Calendar'!E$5:E$134,A9,'Content Calendar'!H$5:H$134,"LONG_VIDEO")</f>
        <v>4</v>
      </c>
    </row>
    <row r="10" customFormat="false" ht="34.5" hidden="false" customHeight="true" outlineLevel="0" collapsed="false">
      <c r="A10" s="5" t="s">
        <v>1814</v>
      </c>
      <c r="B10" s="6" t="s">
        <v>1815</v>
      </c>
      <c r="C10" s="6" t="s">
        <v>2273</v>
      </c>
      <c r="D10" s="6" t="n">
        <f aca="false">COUNTIF('Content Calendar'!E$5:E$134,A10)</f>
        <v>22</v>
      </c>
      <c r="E10" s="6" t="n">
        <f aca="false">COUNTIFS('Content Calendar'!E$5:E$134,A10,'Content Calendar'!H$5:H$134,"SLIDE")</f>
        <v>4</v>
      </c>
      <c r="F10" s="6" t="n">
        <f aca="false">COUNTIFS('Content Calendar'!E$5:E$134,A10,'Content Calendar'!H$5:H$134,"POST")</f>
        <v>9</v>
      </c>
      <c r="G10" s="6" t="n">
        <f aca="false">COUNTIFS('Content Calendar'!E$5:E$134,A10,'Content Calendar'!H$5:H$134,"REEL")</f>
        <v>4</v>
      </c>
      <c r="H10" s="6" t="n">
        <f aca="false">COUNTIFS('Content Calendar'!E$5:E$134,A10,'Content Calendar'!H$5:H$134,"LONG_VIDEO")</f>
        <v>5</v>
      </c>
    </row>
    <row r="11" customFormat="false" ht="15" hidden="false" customHeight="false" outlineLevel="0" collapsed="false">
      <c r="A11" s="5" t="s">
        <v>2274</v>
      </c>
      <c r="D11" s="5" t="n">
        <f aca="false">SUM(D5:D10)</f>
        <v>130</v>
      </c>
      <c r="E11" s="5" t="n">
        <f aca="false">SUM(E5:E10)</f>
        <v>26</v>
      </c>
      <c r="F11" s="5" t="n">
        <f aca="false">SUM(F5:F10)</f>
        <v>52</v>
      </c>
      <c r="G11" s="5" t="n">
        <f aca="false">SUM(G5:G10)</f>
        <v>26</v>
      </c>
      <c r="H11" s="5" t="n">
        <f aca="false">SUM(H5:H10)</f>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1A46"/>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40"/>
    <col collapsed="false" customWidth="true" hidden="false" outlineLevel="0" max="4" min="4" style="0" width="18"/>
    <col collapsed="false" customWidth="true" hidden="false" outlineLevel="0" max="5" min="5" style="0" width="22"/>
    <col collapsed="false" customWidth="true" hidden="false" outlineLevel="0" max="6" min="6" style="0" width="70"/>
  </cols>
  <sheetData>
    <row r="1" customFormat="false" ht="22.05" hidden="false" customHeight="false" outlineLevel="0" collapsed="false">
      <c r="A1" s="1" t="s">
        <v>2275</v>
      </c>
    </row>
    <row r="4" customFormat="false" ht="15" hidden="false" customHeight="false" outlineLevel="0" collapsed="false">
      <c r="A4" s="15" t="s">
        <v>2158</v>
      </c>
      <c r="B4" s="15" t="s">
        <v>2276</v>
      </c>
      <c r="C4" s="15" t="s">
        <v>2277</v>
      </c>
      <c r="D4" s="15" t="s">
        <v>2278</v>
      </c>
      <c r="E4" s="15" t="s">
        <v>2279</v>
      </c>
      <c r="F4" s="15" t="s">
        <v>2280</v>
      </c>
    </row>
    <row r="5" customFormat="false" ht="49.5" hidden="false" customHeight="true" outlineLevel="0" collapsed="false">
      <c r="A5" s="5" t="s">
        <v>2164</v>
      </c>
      <c r="B5" s="6" t="s">
        <v>2281</v>
      </c>
      <c r="C5" s="6" t="s">
        <v>2282</v>
      </c>
      <c r="D5" s="6" t="s">
        <v>2283</v>
      </c>
      <c r="E5" s="6" t="s">
        <v>2284</v>
      </c>
      <c r="F5" s="6" t="s">
        <v>2285</v>
      </c>
    </row>
    <row r="6" customFormat="false" ht="49.5" hidden="false" customHeight="true" outlineLevel="0" collapsed="false">
      <c r="A6" s="5" t="s">
        <v>2240</v>
      </c>
      <c r="B6" s="6" t="s">
        <v>2286</v>
      </c>
      <c r="C6" s="6" t="s">
        <v>2287</v>
      </c>
      <c r="D6" s="6" t="s">
        <v>2288</v>
      </c>
      <c r="E6" s="6" t="s">
        <v>2289</v>
      </c>
      <c r="F6" s="6" t="s">
        <v>2290</v>
      </c>
    </row>
    <row r="7" customFormat="false" ht="49.5" hidden="false" customHeight="true" outlineLevel="0" collapsed="false">
      <c r="A7" s="5" t="s">
        <v>2291</v>
      </c>
      <c r="B7" s="6" t="s">
        <v>2292</v>
      </c>
      <c r="C7" s="6" t="s">
        <v>2293</v>
      </c>
      <c r="D7" s="6" t="s">
        <v>2294</v>
      </c>
      <c r="E7" s="6" t="s">
        <v>2295</v>
      </c>
      <c r="F7" s="6" t="s">
        <v>2296</v>
      </c>
    </row>
    <row r="8" customFormat="false" ht="49.5" hidden="false" customHeight="true" outlineLevel="0" collapsed="false">
      <c r="A8" s="5" t="s">
        <v>91</v>
      </c>
      <c r="B8" s="6" t="s">
        <v>2297</v>
      </c>
      <c r="C8" s="6" t="s">
        <v>2298</v>
      </c>
      <c r="D8" s="6" t="s">
        <v>2283</v>
      </c>
      <c r="E8" s="6" t="s">
        <v>2299</v>
      </c>
      <c r="F8" s="6" t="s">
        <v>2300</v>
      </c>
    </row>
    <row r="9" customFormat="false" ht="49.5" hidden="false" customHeight="true" outlineLevel="0" collapsed="false">
      <c r="A9" s="5" t="s">
        <v>2301</v>
      </c>
      <c r="B9" s="6" t="s">
        <v>2302</v>
      </c>
      <c r="C9" s="6" t="s">
        <v>2303</v>
      </c>
      <c r="D9" s="6" t="s">
        <v>2304</v>
      </c>
      <c r="E9" s="6" t="s">
        <v>2305</v>
      </c>
      <c r="F9" s="6" t="s">
        <v>2306</v>
      </c>
    </row>
    <row r="10" customFormat="false" ht="49.5" hidden="false" customHeight="true" outlineLevel="0" collapsed="false">
      <c r="A10" s="5" t="s">
        <v>2214</v>
      </c>
      <c r="B10" s="6" t="s">
        <v>2307</v>
      </c>
      <c r="C10" s="6" t="s">
        <v>2308</v>
      </c>
      <c r="D10" s="6" t="s">
        <v>2309</v>
      </c>
      <c r="E10" s="6" t="s">
        <v>2310</v>
      </c>
      <c r="F10" s="6" t="s">
        <v>2311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1A46"/>
    <pageSetUpPr fitToPage="false"/>
  </sheetPr>
  <dimension ref="A1:H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50"/>
    <col collapsed="false" customWidth="true" hidden="false" outlineLevel="0" max="4" min="4" style="0" width="40"/>
    <col collapsed="false" customWidth="true" hidden="false" outlineLevel="0" max="5" min="5" style="0" width="70"/>
    <col collapsed="false" customWidth="true" hidden="false" outlineLevel="0" max="7" min="7" style="0" width="28"/>
    <col collapsed="false" customWidth="true" hidden="false" outlineLevel="0" max="8" min="8" style="0" width="10"/>
  </cols>
  <sheetData>
    <row r="1" customFormat="false" ht="22.05" hidden="false" customHeight="false" outlineLevel="0" collapsed="false">
      <c r="A1" s="1" t="s">
        <v>2312</v>
      </c>
    </row>
    <row r="2" customFormat="false" ht="15" hidden="false" customHeight="false" outlineLevel="0" collapsed="false">
      <c r="A2" s="2" t="s">
        <v>2313</v>
      </c>
    </row>
    <row r="4" customFormat="false" ht="15" hidden="false" customHeight="false" outlineLevel="0" collapsed="false">
      <c r="A4" s="15" t="s">
        <v>68</v>
      </c>
      <c r="B4" s="15" t="s">
        <v>79</v>
      </c>
      <c r="C4" s="15" t="s">
        <v>80</v>
      </c>
      <c r="D4" s="15" t="s">
        <v>82</v>
      </c>
      <c r="E4" s="15" t="s">
        <v>84</v>
      </c>
      <c r="G4" s="12" t="s">
        <v>2314</v>
      </c>
      <c r="H4" s="12" t="s">
        <v>2315</v>
      </c>
    </row>
    <row r="5" customFormat="false" ht="35.05" hidden="false" customHeight="false" outlineLevel="0" collapsed="false">
      <c r="A5" s="37" t="n">
        <v>46328</v>
      </c>
      <c r="B5" s="6" t="s">
        <v>111</v>
      </c>
      <c r="C5" s="6" t="s">
        <v>112</v>
      </c>
      <c r="D5" s="6" t="s">
        <v>114</v>
      </c>
      <c r="E5" s="6" t="s">
        <v>116</v>
      </c>
      <c r="G5" s="6" t="s">
        <v>2316</v>
      </c>
      <c r="H5" s="6" t="n">
        <v>253</v>
      </c>
    </row>
    <row r="6" customFormat="false" ht="35.05" hidden="false" customHeight="false" outlineLevel="0" collapsed="false">
      <c r="A6" s="37" t="n">
        <v>46329</v>
      </c>
      <c r="B6" s="6" t="s">
        <v>137</v>
      </c>
      <c r="C6" s="6" t="s">
        <v>138</v>
      </c>
      <c r="D6" s="6" t="s">
        <v>140</v>
      </c>
      <c r="E6" s="6" t="s">
        <v>142</v>
      </c>
      <c r="G6" s="6" t="s">
        <v>2317</v>
      </c>
      <c r="H6" s="6" t="n">
        <v>164</v>
      </c>
    </row>
    <row r="7" customFormat="false" ht="35.05" hidden="false" customHeight="false" outlineLevel="0" collapsed="false">
      <c r="A7" s="37" t="n">
        <v>46330</v>
      </c>
      <c r="B7" s="6" t="s">
        <v>158</v>
      </c>
      <c r="C7" s="6" t="s">
        <v>159</v>
      </c>
      <c r="D7" s="6" t="s">
        <v>161</v>
      </c>
      <c r="E7" s="6" t="s">
        <v>163</v>
      </c>
      <c r="G7" s="6" t="s">
        <v>2318</v>
      </c>
      <c r="H7" s="6" t="n">
        <v>126</v>
      </c>
    </row>
    <row r="8" customFormat="false" ht="35.05" hidden="false" customHeight="false" outlineLevel="0" collapsed="false">
      <c r="A8" s="37" t="n">
        <v>46331</v>
      </c>
      <c r="B8" s="6" t="s">
        <v>183</v>
      </c>
      <c r="C8" s="6" t="s">
        <v>184</v>
      </c>
      <c r="D8" s="6" t="s">
        <v>186</v>
      </c>
      <c r="E8" s="6" t="s">
        <v>188</v>
      </c>
      <c r="G8" s="6" t="s">
        <v>2319</v>
      </c>
      <c r="H8" s="6" t="n">
        <v>118</v>
      </c>
    </row>
    <row r="9" customFormat="false" ht="35.05" hidden="false" customHeight="false" outlineLevel="0" collapsed="false">
      <c r="A9" s="37" t="n">
        <v>46332</v>
      </c>
      <c r="B9" s="6" t="s">
        <v>204</v>
      </c>
      <c r="C9" s="6" t="s">
        <v>205</v>
      </c>
      <c r="D9" s="6" t="s">
        <v>207</v>
      </c>
      <c r="E9" s="6" t="s">
        <v>209</v>
      </c>
      <c r="G9" s="6" t="s">
        <v>2320</v>
      </c>
      <c r="H9" s="6" t="n">
        <v>81</v>
      </c>
    </row>
    <row r="10" customFormat="false" ht="35.05" hidden="false" customHeight="false" outlineLevel="0" collapsed="false">
      <c r="A10" s="37" t="n">
        <v>46335</v>
      </c>
      <c r="B10" s="6" t="s">
        <v>219</v>
      </c>
      <c r="C10" s="6" t="s">
        <v>220</v>
      </c>
      <c r="D10" s="6" t="s">
        <v>222</v>
      </c>
      <c r="E10" s="6" t="s">
        <v>224</v>
      </c>
      <c r="G10" s="6" t="s">
        <v>2321</v>
      </c>
      <c r="H10" s="6" t="n">
        <v>68</v>
      </c>
    </row>
    <row r="11" customFormat="false" ht="23.85" hidden="false" customHeight="false" outlineLevel="0" collapsed="false">
      <c r="A11" s="37" t="n">
        <v>46336</v>
      </c>
      <c r="B11" s="6" t="s">
        <v>236</v>
      </c>
      <c r="C11" s="6" t="s">
        <v>237</v>
      </c>
      <c r="D11" s="6" t="s">
        <v>239</v>
      </c>
      <c r="E11" s="6" t="s">
        <v>241</v>
      </c>
      <c r="G11" s="6" t="s">
        <v>2322</v>
      </c>
      <c r="H11" s="6" t="n">
        <v>66</v>
      </c>
    </row>
    <row r="12" customFormat="false" ht="35.05" hidden="false" customHeight="false" outlineLevel="0" collapsed="false">
      <c r="A12" s="37" t="n">
        <v>46337</v>
      </c>
      <c r="B12" s="6" t="s">
        <v>250</v>
      </c>
      <c r="C12" s="6" t="s">
        <v>251</v>
      </c>
      <c r="D12" s="6" t="s">
        <v>253</v>
      </c>
      <c r="E12" s="6" t="s">
        <v>255</v>
      </c>
      <c r="G12" s="6" t="s">
        <v>2323</v>
      </c>
      <c r="H12" s="6" t="n">
        <v>60</v>
      </c>
    </row>
    <row r="13" customFormat="false" ht="35.05" hidden="false" customHeight="false" outlineLevel="0" collapsed="false">
      <c r="A13" s="37" t="n">
        <v>46338</v>
      </c>
      <c r="B13" s="6" t="s">
        <v>266</v>
      </c>
      <c r="C13" s="6" t="s">
        <v>267</v>
      </c>
      <c r="D13" s="6" t="s">
        <v>269</v>
      </c>
      <c r="E13" s="6" t="s">
        <v>271</v>
      </c>
      <c r="G13" s="6" t="s">
        <v>2324</v>
      </c>
      <c r="H13" s="6" t="n">
        <v>45</v>
      </c>
    </row>
    <row r="14" customFormat="false" ht="23.85" hidden="false" customHeight="false" outlineLevel="0" collapsed="false">
      <c r="A14" s="37" t="n">
        <v>46339</v>
      </c>
      <c r="B14" s="6" t="s">
        <v>283</v>
      </c>
      <c r="C14" s="6" t="s">
        <v>284</v>
      </c>
      <c r="D14" s="6" t="s">
        <v>286</v>
      </c>
      <c r="E14" s="6" t="s">
        <v>288</v>
      </c>
      <c r="G14" s="6" t="s">
        <v>2325</v>
      </c>
      <c r="H14" s="6" t="n">
        <v>45</v>
      </c>
    </row>
    <row r="15" customFormat="false" ht="35.05" hidden="false" customHeight="false" outlineLevel="0" collapsed="false">
      <c r="A15" s="37" t="n">
        <v>46342</v>
      </c>
      <c r="B15" s="6" t="s">
        <v>297</v>
      </c>
      <c r="C15" s="6" t="s">
        <v>298</v>
      </c>
      <c r="D15" s="6" t="s">
        <v>300</v>
      </c>
      <c r="E15" s="6" t="s">
        <v>302</v>
      </c>
      <c r="G15" s="6" t="s">
        <v>2326</v>
      </c>
      <c r="H15" s="6" t="n">
        <v>45</v>
      </c>
    </row>
    <row r="16" customFormat="false" ht="23.85" hidden="false" customHeight="false" outlineLevel="0" collapsed="false">
      <c r="A16" s="37" t="n">
        <v>46343</v>
      </c>
      <c r="B16" s="6" t="s">
        <v>313</v>
      </c>
      <c r="C16" s="6" t="s">
        <v>314</v>
      </c>
      <c r="D16" s="6" t="s">
        <v>316</v>
      </c>
      <c r="E16" s="6" t="s">
        <v>318</v>
      </c>
      <c r="G16" s="6" t="s">
        <v>2327</v>
      </c>
      <c r="H16" s="6" t="n">
        <v>44</v>
      </c>
    </row>
    <row r="17" customFormat="false" ht="35.05" hidden="false" customHeight="false" outlineLevel="0" collapsed="false">
      <c r="A17" s="37" t="n">
        <v>46344</v>
      </c>
      <c r="B17" s="6" t="s">
        <v>327</v>
      </c>
      <c r="C17" s="6" t="s">
        <v>328</v>
      </c>
      <c r="D17" s="6" t="s">
        <v>330</v>
      </c>
      <c r="E17" s="6" t="s">
        <v>332</v>
      </c>
      <c r="G17" s="6" t="s">
        <v>2328</v>
      </c>
      <c r="H17" s="6" t="n">
        <v>36</v>
      </c>
    </row>
    <row r="18" customFormat="false" ht="23.85" hidden="false" customHeight="false" outlineLevel="0" collapsed="false">
      <c r="A18" s="37" t="n">
        <v>46345</v>
      </c>
      <c r="B18" s="6" t="s">
        <v>343</v>
      </c>
      <c r="C18" s="6" t="s">
        <v>344</v>
      </c>
      <c r="D18" s="6" t="s">
        <v>346</v>
      </c>
      <c r="E18" s="6" t="s">
        <v>348</v>
      </c>
      <c r="G18" s="6" t="s">
        <v>2329</v>
      </c>
      <c r="H18" s="6" t="n">
        <v>34</v>
      </c>
    </row>
    <row r="19" customFormat="false" ht="23.85" hidden="false" customHeight="false" outlineLevel="0" collapsed="false">
      <c r="A19" s="37" t="n">
        <v>46346</v>
      </c>
      <c r="B19" s="6" t="s">
        <v>360</v>
      </c>
      <c r="C19" s="6" t="s">
        <v>361</v>
      </c>
      <c r="D19" s="6" t="s">
        <v>363</v>
      </c>
      <c r="E19" s="6" t="s">
        <v>365</v>
      </c>
      <c r="G19" s="6" t="s">
        <v>2330</v>
      </c>
      <c r="H19" s="6" t="n">
        <v>31</v>
      </c>
    </row>
    <row r="20" customFormat="false" ht="35.05" hidden="false" customHeight="false" outlineLevel="0" collapsed="false">
      <c r="A20" s="37" t="n">
        <v>46349</v>
      </c>
      <c r="B20" s="6" t="s">
        <v>374</v>
      </c>
      <c r="C20" s="6" t="s">
        <v>375</v>
      </c>
      <c r="D20" s="6" t="s">
        <v>207</v>
      </c>
      <c r="E20" s="6" t="s">
        <v>378</v>
      </c>
      <c r="G20" s="6" t="s">
        <v>2331</v>
      </c>
      <c r="H20" s="6" t="n">
        <v>29</v>
      </c>
    </row>
    <row r="21" customFormat="false" ht="35.05" hidden="false" customHeight="false" outlineLevel="0" collapsed="false">
      <c r="A21" s="37" t="n">
        <v>46350</v>
      </c>
      <c r="B21" s="6" t="s">
        <v>389</v>
      </c>
      <c r="C21" s="6" t="s">
        <v>390</v>
      </c>
      <c r="D21" s="6" t="s">
        <v>392</v>
      </c>
      <c r="E21" s="6" t="s">
        <v>394</v>
      </c>
      <c r="G21" s="6" t="s">
        <v>2332</v>
      </c>
      <c r="H21" s="6" t="n">
        <v>28</v>
      </c>
    </row>
    <row r="22" customFormat="false" ht="35.05" hidden="false" customHeight="false" outlineLevel="0" collapsed="false">
      <c r="A22" s="37" t="n">
        <v>46351</v>
      </c>
      <c r="B22" s="6" t="s">
        <v>403</v>
      </c>
      <c r="C22" s="6" t="s">
        <v>404</v>
      </c>
      <c r="D22" s="6" t="s">
        <v>406</v>
      </c>
      <c r="E22" s="6" t="s">
        <v>408</v>
      </c>
      <c r="G22" s="6" t="s">
        <v>2333</v>
      </c>
      <c r="H22" s="6" t="n">
        <v>25</v>
      </c>
    </row>
    <row r="23" customFormat="false" ht="35.05" hidden="false" customHeight="false" outlineLevel="0" collapsed="false">
      <c r="A23" s="37" t="n">
        <v>46352</v>
      </c>
      <c r="B23" s="6" t="s">
        <v>419</v>
      </c>
      <c r="C23" s="6" t="s">
        <v>420</v>
      </c>
      <c r="D23" s="6" t="s">
        <v>422</v>
      </c>
      <c r="E23" s="6" t="s">
        <v>424</v>
      </c>
      <c r="G23" s="6" t="s">
        <v>2334</v>
      </c>
      <c r="H23" s="6" t="n">
        <v>25</v>
      </c>
    </row>
    <row r="24" customFormat="false" ht="35.05" hidden="false" customHeight="false" outlineLevel="0" collapsed="false">
      <c r="A24" s="37" t="n">
        <v>46353</v>
      </c>
      <c r="B24" s="6" t="s">
        <v>436</v>
      </c>
      <c r="C24" s="6" t="s">
        <v>437</v>
      </c>
      <c r="D24" s="6" t="s">
        <v>439</v>
      </c>
      <c r="E24" s="6" t="s">
        <v>441</v>
      </c>
      <c r="G24" s="6" t="s">
        <v>2335</v>
      </c>
      <c r="H24" s="6" t="n">
        <v>24</v>
      </c>
    </row>
    <row r="25" customFormat="false" ht="23.85" hidden="false" customHeight="false" outlineLevel="0" collapsed="false">
      <c r="A25" s="37" t="n">
        <v>46356</v>
      </c>
      <c r="B25" s="6" t="s">
        <v>450</v>
      </c>
      <c r="C25" s="6" t="s">
        <v>451</v>
      </c>
      <c r="D25" s="6" t="s">
        <v>453</v>
      </c>
      <c r="E25" s="6" t="s">
        <v>455</v>
      </c>
      <c r="G25" s="6" t="s">
        <v>2336</v>
      </c>
      <c r="H25" s="6" t="n">
        <v>22</v>
      </c>
    </row>
    <row r="26" customFormat="false" ht="35.05" hidden="false" customHeight="false" outlineLevel="0" collapsed="false">
      <c r="A26" s="37" t="n">
        <v>46357</v>
      </c>
      <c r="B26" s="6" t="s">
        <v>468</v>
      </c>
      <c r="C26" s="6" t="s">
        <v>469</v>
      </c>
      <c r="D26" s="6" t="s">
        <v>471</v>
      </c>
      <c r="E26" s="6" t="s">
        <v>473</v>
      </c>
      <c r="G26" s="6" t="s">
        <v>2337</v>
      </c>
      <c r="H26" s="6" t="n">
        <v>19</v>
      </c>
    </row>
    <row r="27" customFormat="false" ht="35.05" hidden="false" customHeight="false" outlineLevel="0" collapsed="false">
      <c r="A27" s="37" t="n">
        <v>46358</v>
      </c>
      <c r="B27" s="6" t="s">
        <v>482</v>
      </c>
      <c r="C27" s="6" t="s">
        <v>483</v>
      </c>
      <c r="D27" s="6" t="s">
        <v>485</v>
      </c>
      <c r="E27" s="6" t="s">
        <v>487</v>
      </c>
      <c r="G27" s="6" t="s">
        <v>2338</v>
      </c>
      <c r="H27" s="6" t="n">
        <v>18</v>
      </c>
    </row>
    <row r="28" customFormat="false" ht="35.05" hidden="false" customHeight="false" outlineLevel="0" collapsed="false">
      <c r="A28" s="37" t="n">
        <v>46359</v>
      </c>
      <c r="B28" s="6" t="s">
        <v>498</v>
      </c>
      <c r="C28" s="6" t="s">
        <v>499</v>
      </c>
      <c r="D28" s="6" t="s">
        <v>501</v>
      </c>
      <c r="E28" s="6" t="s">
        <v>503</v>
      </c>
      <c r="G28" s="6" t="s">
        <v>2339</v>
      </c>
      <c r="H28" s="6" t="n">
        <v>16</v>
      </c>
    </row>
    <row r="29" customFormat="false" ht="35.05" hidden="false" customHeight="false" outlineLevel="0" collapsed="false">
      <c r="A29" s="37" t="n">
        <v>46360</v>
      </c>
      <c r="B29" s="6" t="s">
        <v>515</v>
      </c>
      <c r="C29" s="6" t="s">
        <v>516</v>
      </c>
      <c r="D29" s="6" t="s">
        <v>518</v>
      </c>
      <c r="E29" s="6" t="s">
        <v>520</v>
      </c>
      <c r="G29" s="6" t="s">
        <v>2340</v>
      </c>
      <c r="H29" s="6" t="n">
        <v>15</v>
      </c>
    </row>
    <row r="30" customFormat="false" ht="35.05" hidden="false" customHeight="false" outlineLevel="0" collapsed="false">
      <c r="A30" s="37" t="n">
        <v>46363</v>
      </c>
      <c r="B30" s="6" t="s">
        <v>529</v>
      </c>
      <c r="C30" s="6" t="s">
        <v>530</v>
      </c>
      <c r="D30" s="6" t="s">
        <v>532</v>
      </c>
      <c r="E30" s="6" t="s">
        <v>534</v>
      </c>
      <c r="G30" s="6" t="s">
        <v>2341</v>
      </c>
      <c r="H30" s="6" t="n">
        <v>15</v>
      </c>
    </row>
    <row r="31" customFormat="false" ht="35.05" hidden="false" customHeight="false" outlineLevel="0" collapsed="false">
      <c r="A31" s="37" t="n">
        <v>46364</v>
      </c>
      <c r="B31" s="6" t="s">
        <v>546</v>
      </c>
      <c r="C31" s="6" t="s">
        <v>547</v>
      </c>
      <c r="D31" s="6" t="s">
        <v>316</v>
      </c>
      <c r="E31" s="6" t="s">
        <v>550</v>
      </c>
      <c r="G31" s="6" t="s">
        <v>2342</v>
      </c>
      <c r="H31" s="6" t="n">
        <v>13</v>
      </c>
    </row>
    <row r="32" customFormat="false" ht="35.05" hidden="false" customHeight="false" outlineLevel="0" collapsed="false">
      <c r="A32" s="37" t="n">
        <v>46365</v>
      </c>
      <c r="B32" s="6" t="s">
        <v>559</v>
      </c>
      <c r="C32" s="6" t="s">
        <v>560</v>
      </c>
      <c r="D32" s="6" t="s">
        <v>562</v>
      </c>
      <c r="E32" s="6" t="s">
        <v>564</v>
      </c>
      <c r="G32" s="6" t="s">
        <v>2343</v>
      </c>
      <c r="H32" s="6" t="n">
        <v>13</v>
      </c>
    </row>
    <row r="33" customFormat="false" ht="23.85" hidden="false" customHeight="false" outlineLevel="0" collapsed="false">
      <c r="A33" s="37" t="n">
        <v>46366</v>
      </c>
      <c r="B33" s="6" t="s">
        <v>575</v>
      </c>
      <c r="C33" s="6" t="s">
        <v>576</v>
      </c>
      <c r="D33" s="6" t="s">
        <v>578</v>
      </c>
      <c r="E33" s="6" t="s">
        <v>580</v>
      </c>
      <c r="G33" s="6" t="s">
        <v>2344</v>
      </c>
      <c r="H33" s="6" t="n">
        <v>12</v>
      </c>
    </row>
    <row r="34" customFormat="false" ht="35.05" hidden="false" customHeight="false" outlineLevel="0" collapsed="false">
      <c r="A34" s="37" t="n">
        <v>46367</v>
      </c>
      <c r="B34" s="6" t="s">
        <v>592</v>
      </c>
      <c r="C34" s="6" t="s">
        <v>593</v>
      </c>
      <c r="D34" s="6" t="s">
        <v>595</v>
      </c>
      <c r="E34" s="6" t="s">
        <v>597</v>
      </c>
      <c r="G34" s="6" t="s">
        <v>2345</v>
      </c>
      <c r="H34" s="6" t="n">
        <v>12</v>
      </c>
    </row>
    <row r="35" customFormat="false" ht="35.05" hidden="false" customHeight="false" outlineLevel="0" collapsed="false">
      <c r="A35" s="37" t="n">
        <v>46370</v>
      </c>
      <c r="B35" s="6" t="s">
        <v>606</v>
      </c>
      <c r="C35" s="6" t="s">
        <v>607</v>
      </c>
      <c r="D35" s="6" t="s">
        <v>609</v>
      </c>
      <c r="E35" s="6" t="s">
        <v>611</v>
      </c>
      <c r="G35" s="6" t="s">
        <v>2346</v>
      </c>
      <c r="H35" s="6" t="n">
        <v>12</v>
      </c>
    </row>
    <row r="36" customFormat="false" ht="35.05" hidden="false" customHeight="false" outlineLevel="0" collapsed="false">
      <c r="A36" s="37" t="n">
        <v>46371</v>
      </c>
      <c r="B36" s="6" t="s">
        <v>622</v>
      </c>
      <c r="C36" s="6" t="s">
        <v>623</v>
      </c>
      <c r="D36" s="6" t="s">
        <v>625</v>
      </c>
      <c r="E36" s="6" t="s">
        <v>627</v>
      </c>
      <c r="G36" s="6" t="s">
        <v>2347</v>
      </c>
      <c r="H36" s="6" t="n">
        <v>12</v>
      </c>
    </row>
    <row r="37" customFormat="false" ht="35.05" hidden="false" customHeight="false" outlineLevel="0" collapsed="false">
      <c r="A37" s="37" t="n">
        <v>46372</v>
      </c>
      <c r="B37" s="6" t="s">
        <v>636</v>
      </c>
      <c r="C37" s="6" t="s">
        <v>637</v>
      </c>
      <c r="D37" s="6" t="s">
        <v>639</v>
      </c>
      <c r="E37" s="6" t="s">
        <v>641</v>
      </c>
      <c r="G37" s="6" t="s">
        <v>2348</v>
      </c>
      <c r="H37" s="6" t="n">
        <v>11</v>
      </c>
    </row>
    <row r="38" customFormat="false" ht="35.05" hidden="false" customHeight="false" outlineLevel="0" collapsed="false">
      <c r="A38" s="37" t="n">
        <v>46373</v>
      </c>
      <c r="B38" s="6" t="s">
        <v>652</v>
      </c>
      <c r="C38" s="6" t="s">
        <v>653</v>
      </c>
      <c r="D38" s="6" t="s">
        <v>655</v>
      </c>
      <c r="E38" s="6" t="s">
        <v>657</v>
      </c>
      <c r="G38" s="6" t="s">
        <v>2349</v>
      </c>
      <c r="H38" s="6" t="n">
        <v>11</v>
      </c>
    </row>
    <row r="39" customFormat="false" ht="35.05" hidden="false" customHeight="false" outlineLevel="0" collapsed="false">
      <c r="A39" s="37" t="n">
        <v>46374</v>
      </c>
      <c r="B39" s="6" t="s">
        <v>669</v>
      </c>
      <c r="C39" s="6" t="s">
        <v>670</v>
      </c>
      <c r="D39" s="6" t="s">
        <v>672</v>
      </c>
      <c r="E39" s="6" t="s">
        <v>674</v>
      </c>
      <c r="G39" s="6" t="s">
        <v>2350</v>
      </c>
      <c r="H39" s="6" t="n">
        <v>11</v>
      </c>
    </row>
    <row r="40" customFormat="false" ht="35.05" hidden="false" customHeight="false" outlineLevel="0" collapsed="false">
      <c r="A40" s="37" t="n">
        <v>46377</v>
      </c>
      <c r="B40" s="6" t="s">
        <v>683</v>
      </c>
      <c r="C40" s="6" t="s">
        <v>684</v>
      </c>
      <c r="D40" s="6" t="s">
        <v>686</v>
      </c>
      <c r="E40" s="6" t="s">
        <v>688</v>
      </c>
      <c r="G40" s="6" t="s">
        <v>2351</v>
      </c>
      <c r="H40" s="6" t="n">
        <v>10</v>
      </c>
    </row>
    <row r="41" customFormat="false" ht="35.05" hidden="false" customHeight="false" outlineLevel="0" collapsed="false">
      <c r="A41" s="37" t="n">
        <v>46378</v>
      </c>
      <c r="B41" s="6" t="s">
        <v>700</v>
      </c>
      <c r="C41" s="6" t="s">
        <v>701</v>
      </c>
      <c r="D41" s="6" t="s">
        <v>703</v>
      </c>
      <c r="E41" s="6" t="s">
        <v>705</v>
      </c>
      <c r="G41" s="6" t="s">
        <v>2352</v>
      </c>
      <c r="H41" s="6" t="n">
        <v>10</v>
      </c>
    </row>
    <row r="42" customFormat="false" ht="35.05" hidden="false" customHeight="false" outlineLevel="0" collapsed="false">
      <c r="A42" s="37" t="n">
        <v>46379</v>
      </c>
      <c r="B42" s="6" t="s">
        <v>714</v>
      </c>
      <c r="C42" s="6" t="s">
        <v>715</v>
      </c>
      <c r="D42" s="6" t="s">
        <v>717</v>
      </c>
      <c r="E42" s="6" t="s">
        <v>719</v>
      </c>
      <c r="G42" s="6" t="s">
        <v>2353</v>
      </c>
      <c r="H42" s="6" t="n">
        <v>9</v>
      </c>
    </row>
    <row r="43" customFormat="false" ht="35.05" hidden="false" customHeight="false" outlineLevel="0" collapsed="false">
      <c r="A43" s="37" t="n">
        <v>46380</v>
      </c>
      <c r="B43" s="6" t="s">
        <v>730</v>
      </c>
      <c r="C43" s="6" t="s">
        <v>731</v>
      </c>
      <c r="D43" s="6" t="s">
        <v>733</v>
      </c>
      <c r="E43" s="6" t="s">
        <v>735</v>
      </c>
      <c r="G43" s="6" t="s">
        <v>2354</v>
      </c>
      <c r="H43" s="6" t="n">
        <v>9</v>
      </c>
    </row>
    <row r="44" customFormat="false" ht="35.05" hidden="false" customHeight="false" outlineLevel="0" collapsed="false">
      <c r="A44" s="37" t="n">
        <v>46381</v>
      </c>
      <c r="B44" s="6" t="s">
        <v>747</v>
      </c>
      <c r="C44" s="6" t="s">
        <v>748</v>
      </c>
      <c r="D44" s="6" t="s">
        <v>750</v>
      </c>
      <c r="E44" s="6" t="s">
        <v>752</v>
      </c>
      <c r="G44" s="6" t="s">
        <v>2355</v>
      </c>
      <c r="H44" s="6" t="n">
        <v>9</v>
      </c>
    </row>
    <row r="45" customFormat="false" ht="35.05" hidden="false" customHeight="false" outlineLevel="0" collapsed="false">
      <c r="A45" s="37" t="n">
        <v>46384</v>
      </c>
      <c r="B45" s="6" t="s">
        <v>761</v>
      </c>
      <c r="C45" s="6" t="s">
        <v>762</v>
      </c>
      <c r="D45" s="6" t="s">
        <v>764</v>
      </c>
      <c r="E45" s="6" t="s">
        <v>766</v>
      </c>
    </row>
    <row r="46" customFormat="false" ht="35.05" hidden="false" customHeight="false" outlineLevel="0" collapsed="false">
      <c r="A46" s="37" t="n">
        <v>46385</v>
      </c>
      <c r="B46" s="6" t="s">
        <v>777</v>
      </c>
      <c r="C46" s="6" t="s">
        <v>778</v>
      </c>
      <c r="D46" s="6" t="s">
        <v>780</v>
      </c>
      <c r="E46" s="6" t="s">
        <v>782</v>
      </c>
    </row>
    <row r="47" customFormat="false" ht="23.85" hidden="false" customHeight="false" outlineLevel="0" collapsed="false">
      <c r="A47" s="37" t="n">
        <v>46386</v>
      </c>
      <c r="B47" s="6" t="s">
        <v>791</v>
      </c>
      <c r="C47" s="6" t="s">
        <v>792</v>
      </c>
      <c r="D47" s="6" t="s">
        <v>794</v>
      </c>
      <c r="E47" s="6" t="s">
        <v>796</v>
      </c>
    </row>
    <row r="48" customFormat="false" ht="35.05" hidden="false" customHeight="false" outlineLevel="0" collapsed="false">
      <c r="A48" s="37" t="n">
        <v>46387</v>
      </c>
      <c r="B48" s="6" t="s">
        <v>807</v>
      </c>
      <c r="C48" s="6" t="s">
        <v>808</v>
      </c>
      <c r="D48" s="6" t="s">
        <v>810</v>
      </c>
      <c r="E48" s="6" t="s">
        <v>812</v>
      </c>
    </row>
    <row r="49" customFormat="false" ht="35.05" hidden="false" customHeight="false" outlineLevel="0" collapsed="false">
      <c r="A49" s="37" t="n">
        <v>46388</v>
      </c>
      <c r="B49" s="6" t="s">
        <v>826</v>
      </c>
      <c r="C49" s="6" t="s">
        <v>827</v>
      </c>
      <c r="D49" s="6" t="s">
        <v>829</v>
      </c>
      <c r="E49" s="6" t="s">
        <v>831</v>
      </c>
    </row>
    <row r="50" customFormat="false" ht="35.05" hidden="false" customHeight="false" outlineLevel="0" collapsed="false">
      <c r="A50" s="37" t="n">
        <v>46391</v>
      </c>
      <c r="B50" s="6" t="s">
        <v>840</v>
      </c>
      <c r="C50" s="6" t="s">
        <v>841</v>
      </c>
      <c r="D50" s="6" t="s">
        <v>843</v>
      </c>
      <c r="E50" s="6" t="s">
        <v>845</v>
      </c>
    </row>
    <row r="51" customFormat="false" ht="35.05" hidden="false" customHeight="false" outlineLevel="0" collapsed="false">
      <c r="A51" s="37" t="n">
        <v>46392</v>
      </c>
      <c r="B51" s="6" t="s">
        <v>856</v>
      </c>
      <c r="C51" s="6" t="s">
        <v>857</v>
      </c>
      <c r="D51" s="6" t="s">
        <v>859</v>
      </c>
      <c r="E51" s="6" t="s">
        <v>861</v>
      </c>
    </row>
    <row r="52" customFormat="false" ht="35.05" hidden="false" customHeight="false" outlineLevel="0" collapsed="false">
      <c r="A52" s="37" t="n">
        <v>46393</v>
      </c>
      <c r="B52" s="6" t="s">
        <v>870</v>
      </c>
      <c r="C52" s="6" t="s">
        <v>871</v>
      </c>
      <c r="D52" s="6" t="s">
        <v>873</v>
      </c>
      <c r="E52" s="6" t="s">
        <v>875</v>
      </c>
    </row>
    <row r="53" customFormat="false" ht="35.05" hidden="false" customHeight="false" outlineLevel="0" collapsed="false">
      <c r="A53" s="37" t="n">
        <v>46394</v>
      </c>
      <c r="B53" s="6" t="s">
        <v>886</v>
      </c>
      <c r="C53" s="6" t="s">
        <v>887</v>
      </c>
      <c r="D53" s="6" t="s">
        <v>889</v>
      </c>
      <c r="E53" s="6" t="s">
        <v>891</v>
      </c>
    </row>
    <row r="54" customFormat="false" ht="35.05" hidden="false" customHeight="false" outlineLevel="0" collapsed="false">
      <c r="A54" s="37" t="n">
        <v>46395</v>
      </c>
      <c r="B54" s="6" t="s">
        <v>903</v>
      </c>
      <c r="C54" s="6" t="s">
        <v>904</v>
      </c>
      <c r="D54" s="6" t="s">
        <v>906</v>
      </c>
      <c r="E54" s="6" t="s">
        <v>908</v>
      </c>
    </row>
    <row r="55" customFormat="false" ht="35.05" hidden="false" customHeight="false" outlineLevel="0" collapsed="false">
      <c r="A55" s="37" t="n">
        <v>46398</v>
      </c>
      <c r="B55" s="6" t="s">
        <v>917</v>
      </c>
      <c r="C55" s="6" t="s">
        <v>918</v>
      </c>
      <c r="D55" s="6" t="s">
        <v>920</v>
      </c>
      <c r="E55" s="6" t="s">
        <v>922</v>
      </c>
    </row>
    <row r="56" customFormat="false" ht="35.05" hidden="false" customHeight="false" outlineLevel="0" collapsed="false">
      <c r="A56" s="37" t="n">
        <v>46399</v>
      </c>
      <c r="B56" s="6" t="s">
        <v>933</v>
      </c>
      <c r="C56" s="6" t="s">
        <v>934</v>
      </c>
      <c r="D56" s="6" t="s">
        <v>936</v>
      </c>
      <c r="E56" s="6" t="s">
        <v>938</v>
      </c>
    </row>
    <row r="57" customFormat="false" ht="35.05" hidden="false" customHeight="false" outlineLevel="0" collapsed="false">
      <c r="A57" s="37" t="n">
        <v>46400</v>
      </c>
      <c r="B57" s="6" t="s">
        <v>947</v>
      </c>
      <c r="C57" s="6" t="s">
        <v>948</v>
      </c>
      <c r="D57" s="6" t="s">
        <v>950</v>
      </c>
      <c r="E57" s="6" t="s">
        <v>952</v>
      </c>
    </row>
    <row r="58" customFormat="false" ht="35.05" hidden="false" customHeight="false" outlineLevel="0" collapsed="false">
      <c r="A58" s="37" t="n">
        <v>46401</v>
      </c>
      <c r="B58" s="6" t="s">
        <v>963</v>
      </c>
      <c r="C58" s="6" t="s">
        <v>964</v>
      </c>
      <c r="D58" s="6" t="s">
        <v>966</v>
      </c>
      <c r="E58" s="6" t="s">
        <v>968</v>
      </c>
    </row>
    <row r="59" customFormat="false" ht="35.05" hidden="false" customHeight="false" outlineLevel="0" collapsed="false">
      <c r="A59" s="37" t="n">
        <v>46402</v>
      </c>
      <c r="B59" s="6" t="s">
        <v>980</v>
      </c>
      <c r="C59" s="6" t="s">
        <v>981</v>
      </c>
      <c r="D59" s="6" t="s">
        <v>983</v>
      </c>
      <c r="E59" s="6" t="s">
        <v>908</v>
      </c>
    </row>
    <row r="60" customFormat="false" ht="35.05" hidden="false" customHeight="false" outlineLevel="0" collapsed="false">
      <c r="A60" s="37" t="n">
        <v>46405</v>
      </c>
      <c r="B60" s="6" t="s">
        <v>993</v>
      </c>
      <c r="C60" s="6" t="s">
        <v>994</v>
      </c>
      <c r="D60" s="6" t="s">
        <v>996</v>
      </c>
      <c r="E60" s="6" t="s">
        <v>998</v>
      </c>
    </row>
    <row r="61" customFormat="false" ht="35.05" hidden="false" customHeight="false" outlineLevel="0" collapsed="false">
      <c r="A61" s="37" t="n">
        <v>46406</v>
      </c>
      <c r="B61" s="6" t="s">
        <v>1009</v>
      </c>
      <c r="C61" s="6" t="s">
        <v>1010</v>
      </c>
      <c r="D61" s="6" t="s">
        <v>1012</v>
      </c>
      <c r="E61" s="6" t="s">
        <v>1014</v>
      </c>
    </row>
    <row r="62" customFormat="false" ht="35.05" hidden="false" customHeight="false" outlineLevel="0" collapsed="false">
      <c r="A62" s="37" t="n">
        <v>46407</v>
      </c>
      <c r="B62" s="6" t="s">
        <v>1023</v>
      </c>
      <c r="C62" s="6" t="s">
        <v>1024</v>
      </c>
      <c r="D62" s="6" t="s">
        <v>1026</v>
      </c>
      <c r="E62" s="6" t="s">
        <v>1028</v>
      </c>
    </row>
    <row r="63" customFormat="false" ht="35.05" hidden="false" customHeight="false" outlineLevel="0" collapsed="false">
      <c r="A63" s="37" t="n">
        <v>46408</v>
      </c>
      <c r="B63" s="6" t="s">
        <v>1039</v>
      </c>
      <c r="C63" s="6" t="s">
        <v>1040</v>
      </c>
      <c r="D63" s="6" t="s">
        <v>1042</v>
      </c>
      <c r="E63" s="6" t="s">
        <v>1044</v>
      </c>
    </row>
    <row r="64" customFormat="false" ht="35.05" hidden="false" customHeight="false" outlineLevel="0" collapsed="false">
      <c r="A64" s="37" t="n">
        <v>46409</v>
      </c>
      <c r="B64" s="6" t="s">
        <v>1056</v>
      </c>
      <c r="C64" s="6" t="s">
        <v>1057</v>
      </c>
      <c r="D64" s="6" t="s">
        <v>1059</v>
      </c>
      <c r="E64" s="6" t="s">
        <v>1061</v>
      </c>
    </row>
    <row r="65" customFormat="false" ht="35.05" hidden="false" customHeight="false" outlineLevel="0" collapsed="false">
      <c r="A65" s="37" t="n">
        <v>46412</v>
      </c>
      <c r="B65" s="6" t="s">
        <v>1070</v>
      </c>
      <c r="C65" s="6" t="s">
        <v>1071</v>
      </c>
      <c r="D65" s="6" t="s">
        <v>1073</v>
      </c>
      <c r="E65" s="6" t="s">
        <v>1075</v>
      </c>
    </row>
    <row r="66" customFormat="false" ht="35.05" hidden="false" customHeight="false" outlineLevel="0" collapsed="false">
      <c r="A66" s="37" t="n">
        <v>46413</v>
      </c>
      <c r="B66" s="6" t="s">
        <v>1087</v>
      </c>
      <c r="C66" s="6" t="s">
        <v>1088</v>
      </c>
      <c r="D66" s="6" t="s">
        <v>1090</v>
      </c>
      <c r="E66" s="6" t="s">
        <v>1092</v>
      </c>
    </row>
    <row r="67" customFormat="false" ht="35.05" hidden="false" customHeight="false" outlineLevel="0" collapsed="false">
      <c r="A67" s="37" t="n">
        <v>46414</v>
      </c>
      <c r="B67" s="6" t="s">
        <v>1101</v>
      </c>
      <c r="C67" s="6" t="s">
        <v>1102</v>
      </c>
      <c r="D67" s="6" t="s">
        <v>1104</v>
      </c>
      <c r="E67" s="6" t="s">
        <v>1106</v>
      </c>
    </row>
    <row r="68" customFormat="false" ht="35.05" hidden="false" customHeight="false" outlineLevel="0" collapsed="false">
      <c r="A68" s="37" t="n">
        <v>46415</v>
      </c>
      <c r="B68" s="6" t="s">
        <v>1117</v>
      </c>
      <c r="C68" s="6" t="s">
        <v>1118</v>
      </c>
      <c r="D68" s="6" t="s">
        <v>1120</v>
      </c>
      <c r="E68" s="6" t="s">
        <v>1122</v>
      </c>
    </row>
    <row r="69" customFormat="false" ht="35.05" hidden="false" customHeight="false" outlineLevel="0" collapsed="false">
      <c r="A69" s="37" t="n">
        <v>46416</v>
      </c>
      <c r="B69" s="6" t="s">
        <v>1134</v>
      </c>
      <c r="C69" s="6" t="s">
        <v>1135</v>
      </c>
      <c r="D69" s="6" t="s">
        <v>1137</v>
      </c>
      <c r="E69" s="6" t="s">
        <v>1139</v>
      </c>
    </row>
    <row r="70" customFormat="false" ht="35.05" hidden="false" customHeight="false" outlineLevel="0" collapsed="false">
      <c r="A70" s="37" t="n">
        <v>46419</v>
      </c>
      <c r="B70" s="6" t="s">
        <v>1150</v>
      </c>
      <c r="C70" s="6" t="s">
        <v>1151</v>
      </c>
      <c r="D70" s="6" t="s">
        <v>1153</v>
      </c>
      <c r="E70" s="6" t="s">
        <v>1155</v>
      </c>
    </row>
    <row r="71" customFormat="false" ht="35.05" hidden="false" customHeight="false" outlineLevel="0" collapsed="false">
      <c r="A71" s="37" t="n">
        <v>46420</v>
      </c>
      <c r="B71" s="6" t="s">
        <v>1166</v>
      </c>
      <c r="C71" s="6" t="s">
        <v>1167</v>
      </c>
      <c r="D71" s="6" t="s">
        <v>1169</v>
      </c>
      <c r="E71" s="6" t="s">
        <v>1171</v>
      </c>
    </row>
    <row r="72" customFormat="false" ht="23.85" hidden="false" customHeight="false" outlineLevel="0" collapsed="false">
      <c r="A72" s="37" t="n">
        <v>46421</v>
      </c>
      <c r="B72" s="6" t="s">
        <v>1180</v>
      </c>
      <c r="C72" s="6" t="s">
        <v>1181</v>
      </c>
      <c r="D72" s="6" t="s">
        <v>1183</v>
      </c>
      <c r="E72" s="6" t="s">
        <v>1185</v>
      </c>
    </row>
    <row r="73" customFormat="false" ht="35.05" hidden="false" customHeight="false" outlineLevel="0" collapsed="false">
      <c r="A73" s="37" t="n">
        <v>46422</v>
      </c>
      <c r="B73" s="6" t="s">
        <v>1196</v>
      </c>
      <c r="C73" s="6" t="s">
        <v>1197</v>
      </c>
      <c r="D73" s="6" t="s">
        <v>1199</v>
      </c>
      <c r="E73" s="6" t="s">
        <v>1201</v>
      </c>
    </row>
    <row r="74" customFormat="false" ht="35.05" hidden="false" customHeight="false" outlineLevel="0" collapsed="false">
      <c r="A74" s="37" t="n">
        <v>46423</v>
      </c>
      <c r="B74" s="6" t="s">
        <v>1213</v>
      </c>
      <c r="C74" s="6" t="s">
        <v>1214</v>
      </c>
      <c r="D74" s="6" t="s">
        <v>1216</v>
      </c>
      <c r="E74" s="6" t="s">
        <v>1218</v>
      </c>
    </row>
    <row r="75" customFormat="false" ht="35.05" hidden="false" customHeight="false" outlineLevel="0" collapsed="false">
      <c r="A75" s="37" t="n">
        <v>46426</v>
      </c>
      <c r="B75" s="6" t="s">
        <v>1227</v>
      </c>
      <c r="C75" s="6" t="s">
        <v>1228</v>
      </c>
      <c r="D75" s="6" t="s">
        <v>1230</v>
      </c>
      <c r="E75" s="6" t="s">
        <v>1232</v>
      </c>
    </row>
    <row r="76" customFormat="false" ht="35.05" hidden="false" customHeight="false" outlineLevel="0" collapsed="false">
      <c r="A76" s="37" t="n">
        <v>46427</v>
      </c>
      <c r="B76" s="6" t="s">
        <v>1243</v>
      </c>
      <c r="C76" s="6" t="s">
        <v>1244</v>
      </c>
      <c r="D76" s="6" t="s">
        <v>1246</v>
      </c>
      <c r="E76" s="6" t="s">
        <v>1248</v>
      </c>
    </row>
    <row r="77" customFormat="false" ht="23.85" hidden="false" customHeight="false" outlineLevel="0" collapsed="false">
      <c r="A77" s="37" t="n">
        <v>46428</v>
      </c>
      <c r="B77" s="6" t="s">
        <v>1257</v>
      </c>
      <c r="C77" s="6" t="s">
        <v>1258</v>
      </c>
      <c r="D77" s="6" t="s">
        <v>1260</v>
      </c>
      <c r="E77" s="6" t="s">
        <v>1262</v>
      </c>
    </row>
    <row r="78" customFormat="false" ht="23.85" hidden="false" customHeight="false" outlineLevel="0" collapsed="false">
      <c r="A78" s="37" t="n">
        <v>46429</v>
      </c>
      <c r="B78" s="6" t="s">
        <v>1273</v>
      </c>
      <c r="C78" s="6" t="s">
        <v>1274</v>
      </c>
      <c r="D78" s="6" t="s">
        <v>1276</v>
      </c>
      <c r="E78" s="6" t="s">
        <v>1278</v>
      </c>
    </row>
    <row r="79" customFormat="false" ht="35.05" hidden="false" customHeight="false" outlineLevel="0" collapsed="false">
      <c r="A79" s="37" t="n">
        <v>46430</v>
      </c>
      <c r="B79" s="6" t="s">
        <v>1290</v>
      </c>
      <c r="C79" s="6" t="s">
        <v>1291</v>
      </c>
      <c r="D79" s="6" t="s">
        <v>1293</v>
      </c>
      <c r="E79" s="6" t="s">
        <v>1295</v>
      </c>
    </row>
    <row r="80" customFormat="false" ht="35.05" hidden="false" customHeight="false" outlineLevel="0" collapsed="false">
      <c r="A80" s="37" t="n">
        <v>46433</v>
      </c>
      <c r="B80" s="6" t="s">
        <v>1304</v>
      </c>
      <c r="C80" s="6" t="s">
        <v>1305</v>
      </c>
      <c r="D80" s="6" t="s">
        <v>1307</v>
      </c>
      <c r="E80" s="6" t="s">
        <v>1309</v>
      </c>
    </row>
    <row r="81" customFormat="false" ht="35.05" hidden="false" customHeight="false" outlineLevel="0" collapsed="false">
      <c r="A81" s="37" t="n">
        <v>46434</v>
      </c>
      <c r="B81" s="6" t="s">
        <v>1320</v>
      </c>
      <c r="C81" s="6" t="s">
        <v>1321</v>
      </c>
      <c r="D81" s="6" t="s">
        <v>1323</v>
      </c>
      <c r="E81" s="6" t="s">
        <v>1325</v>
      </c>
    </row>
    <row r="82" customFormat="false" ht="23.85" hidden="false" customHeight="false" outlineLevel="0" collapsed="false">
      <c r="A82" s="37" t="n">
        <v>46435</v>
      </c>
      <c r="B82" s="6" t="s">
        <v>1334</v>
      </c>
      <c r="C82" s="6" t="s">
        <v>1335</v>
      </c>
      <c r="D82" s="6" t="s">
        <v>1337</v>
      </c>
      <c r="E82" s="6" t="s">
        <v>1339</v>
      </c>
    </row>
    <row r="83" customFormat="false" ht="35.05" hidden="false" customHeight="false" outlineLevel="0" collapsed="false">
      <c r="A83" s="37" t="n">
        <v>46436</v>
      </c>
      <c r="B83" s="6" t="s">
        <v>1350</v>
      </c>
      <c r="C83" s="6" t="s">
        <v>1351</v>
      </c>
      <c r="D83" s="6" t="s">
        <v>1353</v>
      </c>
      <c r="E83" s="6" t="s">
        <v>1355</v>
      </c>
    </row>
    <row r="84" customFormat="false" ht="35.05" hidden="false" customHeight="false" outlineLevel="0" collapsed="false">
      <c r="A84" s="37" t="n">
        <v>46437</v>
      </c>
      <c r="B84" s="6" t="s">
        <v>1367</v>
      </c>
      <c r="C84" s="6" t="s">
        <v>1368</v>
      </c>
      <c r="D84" s="6" t="s">
        <v>1370</v>
      </c>
      <c r="E84" s="6" t="s">
        <v>1372</v>
      </c>
    </row>
    <row r="85" customFormat="false" ht="23.85" hidden="false" customHeight="false" outlineLevel="0" collapsed="false">
      <c r="A85" s="37" t="n">
        <v>46440</v>
      </c>
      <c r="B85" s="6" t="s">
        <v>1381</v>
      </c>
      <c r="C85" s="6" t="s">
        <v>1382</v>
      </c>
      <c r="D85" s="6" t="s">
        <v>1384</v>
      </c>
      <c r="E85" s="6" t="s">
        <v>1386</v>
      </c>
    </row>
    <row r="86" customFormat="false" ht="35.05" hidden="false" customHeight="false" outlineLevel="0" collapsed="false">
      <c r="A86" s="37" t="n">
        <v>46441</v>
      </c>
      <c r="B86" s="6" t="s">
        <v>1397</v>
      </c>
      <c r="C86" s="6" t="s">
        <v>1398</v>
      </c>
      <c r="D86" s="6" t="s">
        <v>1400</v>
      </c>
      <c r="E86" s="6" t="s">
        <v>1402</v>
      </c>
    </row>
    <row r="87" customFormat="false" ht="35.05" hidden="false" customHeight="false" outlineLevel="0" collapsed="false">
      <c r="A87" s="37" t="n">
        <v>46442</v>
      </c>
      <c r="B87" s="6" t="s">
        <v>1411</v>
      </c>
      <c r="C87" s="6" t="s">
        <v>1412</v>
      </c>
      <c r="D87" s="6" t="s">
        <v>1414</v>
      </c>
      <c r="E87" s="6" t="s">
        <v>1416</v>
      </c>
    </row>
    <row r="88" customFormat="false" ht="35.05" hidden="false" customHeight="false" outlineLevel="0" collapsed="false">
      <c r="A88" s="37" t="n">
        <v>46443</v>
      </c>
      <c r="B88" s="6" t="s">
        <v>1427</v>
      </c>
      <c r="C88" s="6" t="s">
        <v>1428</v>
      </c>
      <c r="D88" s="6" t="s">
        <v>1430</v>
      </c>
      <c r="E88" s="6" t="s">
        <v>1432</v>
      </c>
    </row>
    <row r="89" customFormat="false" ht="35.05" hidden="false" customHeight="false" outlineLevel="0" collapsed="false">
      <c r="A89" s="37" t="n">
        <v>46444</v>
      </c>
      <c r="B89" s="6" t="s">
        <v>1444</v>
      </c>
      <c r="C89" s="6" t="s">
        <v>1445</v>
      </c>
      <c r="D89" s="6" t="s">
        <v>1447</v>
      </c>
      <c r="E89" s="6" t="s">
        <v>1449</v>
      </c>
    </row>
    <row r="90" customFormat="false" ht="35.05" hidden="false" customHeight="false" outlineLevel="0" collapsed="false">
      <c r="A90" s="37" t="n">
        <v>46447</v>
      </c>
      <c r="B90" s="6" t="s">
        <v>1460</v>
      </c>
      <c r="C90" s="6" t="s">
        <v>1461</v>
      </c>
      <c r="D90" s="6" t="s">
        <v>1463</v>
      </c>
      <c r="E90" s="6" t="s">
        <v>1465</v>
      </c>
    </row>
    <row r="91" customFormat="false" ht="23.85" hidden="false" customHeight="false" outlineLevel="0" collapsed="false">
      <c r="A91" s="37" t="n">
        <v>46448</v>
      </c>
      <c r="B91" s="6" t="s">
        <v>1476</v>
      </c>
      <c r="C91" s="6" t="s">
        <v>1477</v>
      </c>
      <c r="D91" s="6" t="s">
        <v>1479</v>
      </c>
      <c r="E91" s="6" t="s">
        <v>1481</v>
      </c>
    </row>
    <row r="92" customFormat="false" ht="23.85" hidden="false" customHeight="false" outlineLevel="0" collapsed="false">
      <c r="A92" s="37" t="n">
        <v>46449</v>
      </c>
      <c r="B92" s="6" t="s">
        <v>1490</v>
      </c>
      <c r="C92" s="6" t="s">
        <v>1491</v>
      </c>
      <c r="D92" s="6" t="s">
        <v>1493</v>
      </c>
      <c r="E92" s="6" t="s">
        <v>1495</v>
      </c>
    </row>
    <row r="93" customFormat="false" ht="23.85" hidden="false" customHeight="false" outlineLevel="0" collapsed="false">
      <c r="A93" s="37" t="n">
        <v>46450</v>
      </c>
      <c r="B93" s="6" t="s">
        <v>1506</v>
      </c>
      <c r="C93" s="6" t="s">
        <v>1507</v>
      </c>
      <c r="D93" s="6" t="s">
        <v>1509</v>
      </c>
      <c r="E93" s="6" t="s">
        <v>1511</v>
      </c>
    </row>
    <row r="94" customFormat="false" ht="23.85" hidden="false" customHeight="false" outlineLevel="0" collapsed="false">
      <c r="A94" s="37" t="n">
        <v>46451</v>
      </c>
      <c r="B94" s="6" t="s">
        <v>1523</v>
      </c>
      <c r="C94" s="6" t="s">
        <v>1524</v>
      </c>
      <c r="D94" s="6" t="s">
        <v>1526</v>
      </c>
      <c r="E94" s="6" t="s">
        <v>1528</v>
      </c>
    </row>
    <row r="95" customFormat="false" ht="35.05" hidden="false" customHeight="false" outlineLevel="0" collapsed="false">
      <c r="A95" s="37" t="n">
        <v>46454</v>
      </c>
      <c r="B95" s="6" t="s">
        <v>1537</v>
      </c>
      <c r="C95" s="6" t="s">
        <v>1538</v>
      </c>
      <c r="D95" s="6" t="s">
        <v>1540</v>
      </c>
      <c r="E95" s="6" t="s">
        <v>1542</v>
      </c>
    </row>
    <row r="96" customFormat="false" ht="23.85" hidden="false" customHeight="false" outlineLevel="0" collapsed="false">
      <c r="A96" s="37" t="n">
        <v>46455</v>
      </c>
      <c r="B96" s="6" t="s">
        <v>1554</v>
      </c>
      <c r="C96" s="6" t="s">
        <v>1555</v>
      </c>
      <c r="D96" s="6" t="s">
        <v>1557</v>
      </c>
      <c r="E96" s="6" t="s">
        <v>1559</v>
      </c>
    </row>
    <row r="97" customFormat="false" ht="23.85" hidden="false" customHeight="false" outlineLevel="0" collapsed="false">
      <c r="A97" s="37" t="n">
        <v>46456</v>
      </c>
      <c r="B97" s="6" t="s">
        <v>1568</v>
      </c>
      <c r="C97" s="6" t="s">
        <v>1569</v>
      </c>
      <c r="D97" s="6" t="s">
        <v>1571</v>
      </c>
      <c r="E97" s="6" t="s">
        <v>1573</v>
      </c>
    </row>
    <row r="98" customFormat="false" ht="35.05" hidden="false" customHeight="false" outlineLevel="0" collapsed="false">
      <c r="A98" s="37" t="n">
        <v>46457</v>
      </c>
      <c r="B98" s="6" t="s">
        <v>1584</v>
      </c>
      <c r="C98" s="6" t="s">
        <v>1585</v>
      </c>
      <c r="D98" s="6" t="s">
        <v>1587</v>
      </c>
      <c r="E98" s="6" t="s">
        <v>1589</v>
      </c>
    </row>
    <row r="99" customFormat="false" ht="23.85" hidden="false" customHeight="false" outlineLevel="0" collapsed="false">
      <c r="A99" s="37" t="n">
        <v>46458</v>
      </c>
      <c r="B99" s="6" t="s">
        <v>1601</v>
      </c>
      <c r="C99" s="6" t="s">
        <v>1602</v>
      </c>
      <c r="D99" s="6" t="s">
        <v>1604</v>
      </c>
      <c r="E99" s="6" t="s">
        <v>1606</v>
      </c>
    </row>
    <row r="100" customFormat="false" ht="35.05" hidden="false" customHeight="false" outlineLevel="0" collapsed="false">
      <c r="A100" s="37" t="n">
        <v>46461</v>
      </c>
      <c r="B100" s="6" t="s">
        <v>1615</v>
      </c>
      <c r="C100" s="6" t="s">
        <v>1616</v>
      </c>
      <c r="D100" s="6" t="s">
        <v>1618</v>
      </c>
      <c r="E100" s="6" t="s">
        <v>1620</v>
      </c>
    </row>
    <row r="101" customFormat="false" ht="35.05" hidden="false" customHeight="false" outlineLevel="0" collapsed="false">
      <c r="A101" s="37" t="n">
        <v>46462</v>
      </c>
      <c r="B101" s="6" t="s">
        <v>1631</v>
      </c>
      <c r="C101" s="6" t="s">
        <v>1632</v>
      </c>
      <c r="D101" s="6" t="s">
        <v>1634</v>
      </c>
      <c r="E101" s="6" t="s">
        <v>1636</v>
      </c>
    </row>
    <row r="102" customFormat="false" ht="23.85" hidden="false" customHeight="false" outlineLevel="0" collapsed="false">
      <c r="A102" s="37" t="n">
        <v>46463</v>
      </c>
      <c r="B102" s="6" t="s">
        <v>1645</v>
      </c>
      <c r="C102" s="6" t="s">
        <v>1646</v>
      </c>
      <c r="D102" s="6" t="s">
        <v>1648</v>
      </c>
      <c r="E102" s="6" t="s">
        <v>1650</v>
      </c>
    </row>
    <row r="103" customFormat="false" ht="23.85" hidden="false" customHeight="false" outlineLevel="0" collapsed="false">
      <c r="A103" s="37" t="n">
        <v>46464</v>
      </c>
      <c r="B103" s="6" t="s">
        <v>1661</v>
      </c>
      <c r="C103" s="6" t="s">
        <v>1662</v>
      </c>
      <c r="D103" s="6" t="s">
        <v>1664</v>
      </c>
      <c r="E103" s="6" t="s">
        <v>1666</v>
      </c>
    </row>
    <row r="104" customFormat="false" ht="35.05" hidden="false" customHeight="false" outlineLevel="0" collapsed="false">
      <c r="A104" s="37" t="n">
        <v>46465</v>
      </c>
      <c r="B104" s="6" t="s">
        <v>1678</v>
      </c>
      <c r="C104" s="6" t="s">
        <v>1679</v>
      </c>
      <c r="D104" s="6" t="s">
        <v>1681</v>
      </c>
      <c r="E104" s="6" t="s">
        <v>1683</v>
      </c>
    </row>
    <row r="105" customFormat="false" ht="35.05" hidden="false" customHeight="false" outlineLevel="0" collapsed="false">
      <c r="A105" s="37" t="n">
        <v>46468</v>
      </c>
      <c r="B105" s="6" t="s">
        <v>1692</v>
      </c>
      <c r="C105" s="6" t="s">
        <v>1693</v>
      </c>
      <c r="D105" s="6" t="s">
        <v>1695</v>
      </c>
      <c r="E105" s="6" t="s">
        <v>1697</v>
      </c>
    </row>
    <row r="106" customFormat="false" ht="23.85" hidden="false" customHeight="false" outlineLevel="0" collapsed="false">
      <c r="A106" s="37" t="n">
        <v>46469</v>
      </c>
      <c r="B106" s="6" t="s">
        <v>1709</v>
      </c>
      <c r="C106" s="6" t="s">
        <v>1710</v>
      </c>
      <c r="D106" s="6" t="s">
        <v>1712</v>
      </c>
      <c r="E106" s="6" t="s">
        <v>1714</v>
      </c>
    </row>
    <row r="107" customFormat="false" ht="23.85" hidden="false" customHeight="false" outlineLevel="0" collapsed="false">
      <c r="A107" s="37" t="n">
        <v>46470</v>
      </c>
      <c r="B107" s="6" t="s">
        <v>1723</v>
      </c>
      <c r="C107" s="6" t="s">
        <v>1724</v>
      </c>
      <c r="D107" s="6" t="s">
        <v>1726</v>
      </c>
      <c r="E107" s="6" t="s">
        <v>1728</v>
      </c>
    </row>
    <row r="108" customFormat="false" ht="23.85" hidden="false" customHeight="false" outlineLevel="0" collapsed="false">
      <c r="A108" s="37" t="n">
        <v>46471</v>
      </c>
      <c r="B108" s="6" t="s">
        <v>1739</v>
      </c>
      <c r="C108" s="6" t="s">
        <v>1740</v>
      </c>
      <c r="D108" s="6" t="s">
        <v>1742</v>
      </c>
      <c r="E108" s="6" t="s">
        <v>1744</v>
      </c>
    </row>
    <row r="109" customFormat="false" ht="23.85" hidden="false" customHeight="false" outlineLevel="0" collapsed="false">
      <c r="A109" s="37" t="n">
        <v>46472</v>
      </c>
      <c r="B109" s="6" t="s">
        <v>1756</v>
      </c>
      <c r="C109" s="6" t="s">
        <v>1757</v>
      </c>
      <c r="D109" s="6" t="s">
        <v>1759</v>
      </c>
      <c r="E109" s="6" t="s">
        <v>1761</v>
      </c>
    </row>
    <row r="110" customFormat="false" ht="23.85" hidden="false" customHeight="false" outlineLevel="0" collapsed="false">
      <c r="A110" s="37" t="n">
        <v>46475</v>
      </c>
      <c r="B110" s="6" t="s">
        <v>1770</v>
      </c>
      <c r="C110" s="6" t="s">
        <v>1771</v>
      </c>
      <c r="D110" s="6" t="s">
        <v>1773</v>
      </c>
      <c r="E110" s="6" t="s">
        <v>1775</v>
      </c>
    </row>
    <row r="111" customFormat="false" ht="23.85" hidden="false" customHeight="false" outlineLevel="0" collapsed="false">
      <c r="A111" s="37" t="n">
        <v>46476</v>
      </c>
      <c r="B111" s="6" t="s">
        <v>1786</v>
      </c>
      <c r="C111" s="6" t="s">
        <v>1787</v>
      </c>
      <c r="D111" s="6" t="s">
        <v>1789</v>
      </c>
      <c r="E111" s="6" t="s">
        <v>1791</v>
      </c>
    </row>
    <row r="112" customFormat="false" ht="23.85" hidden="false" customHeight="false" outlineLevel="0" collapsed="false">
      <c r="A112" s="37" t="n">
        <v>46477</v>
      </c>
      <c r="B112" s="6" t="s">
        <v>1800</v>
      </c>
      <c r="C112" s="6" t="s">
        <v>1801</v>
      </c>
      <c r="D112" s="6" t="s">
        <v>1803</v>
      </c>
      <c r="E112" s="6" t="s">
        <v>1805</v>
      </c>
    </row>
    <row r="113" customFormat="false" ht="35.05" hidden="false" customHeight="false" outlineLevel="0" collapsed="false">
      <c r="A113" s="37" t="n">
        <v>46478</v>
      </c>
      <c r="B113" s="6" t="s">
        <v>1818</v>
      </c>
      <c r="C113" s="6" t="s">
        <v>1819</v>
      </c>
      <c r="D113" s="6" t="s">
        <v>1821</v>
      </c>
      <c r="E113" s="6" t="s">
        <v>1823</v>
      </c>
    </row>
    <row r="114" customFormat="false" ht="35.05" hidden="false" customHeight="false" outlineLevel="0" collapsed="false">
      <c r="A114" s="37" t="n">
        <v>46479</v>
      </c>
      <c r="B114" s="6" t="s">
        <v>1835</v>
      </c>
      <c r="C114" s="6" t="s">
        <v>1836</v>
      </c>
      <c r="D114" s="6" t="s">
        <v>1838</v>
      </c>
      <c r="E114" s="6" t="s">
        <v>1840</v>
      </c>
    </row>
    <row r="115" customFormat="false" ht="23.85" hidden="false" customHeight="false" outlineLevel="0" collapsed="false">
      <c r="A115" s="37" t="n">
        <v>46482</v>
      </c>
      <c r="B115" s="6" t="s">
        <v>1849</v>
      </c>
      <c r="C115" s="6" t="s">
        <v>1850</v>
      </c>
      <c r="D115" s="6" t="s">
        <v>1852</v>
      </c>
      <c r="E115" s="6" t="s">
        <v>1854</v>
      </c>
    </row>
    <row r="116" customFormat="false" ht="35.05" hidden="false" customHeight="false" outlineLevel="0" collapsed="false">
      <c r="A116" s="37" t="n">
        <v>46483</v>
      </c>
      <c r="B116" s="6" t="s">
        <v>1865</v>
      </c>
      <c r="C116" s="6" t="s">
        <v>1866</v>
      </c>
      <c r="D116" s="6" t="s">
        <v>1868</v>
      </c>
      <c r="E116" s="6" t="s">
        <v>1870</v>
      </c>
    </row>
    <row r="117" customFormat="false" ht="23.85" hidden="false" customHeight="false" outlineLevel="0" collapsed="false">
      <c r="A117" s="37" t="n">
        <v>46484</v>
      </c>
      <c r="B117" s="6" t="s">
        <v>1879</v>
      </c>
      <c r="C117" s="6" t="s">
        <v>1880</v>
      </c>
      <c r="D117" s="6" t="s">
        <v>1882</v>
      </c>
      <c r="E117" s="6" t="s">
        <v>1884</v>
      </c>
    </row>
    <row r="118" customFormat="false" ht="35.05" hidden="false" customHeight="false" outlineLevel="0" collapsed="false">
      <c r="A118" s="37" t="n">
        <v>46485</v>
      </c>
      <c r="B118" s="6" t="s">
        <v>1895</v>
      </c>
      <c r="C118" s="6" t="s">
        <v>1896</v>
      </c>
      <c r="D118" s="6" t="s">
        <v>1898</v>
      </c>
      <c r="E118" s="6" t="s">
        <v>1900</v>
      </c>
    </row>
    <row r="119" customFormat="false" ht="23.85" hidden="false" customHeight="false" outlineLevel="0" collapsed="false">
      <c r="A119" s="37" t="n">
        <v>46486</v>
      </c>
      <c r="B119" s="6" t="s">
        <v>1912</v>
      </c>
      <c r="C119" s="6" t="s">
        <v>1913</v>
      </c>
      <c r="D119" s="6" t="s">
        <v>1915</v>
      </c>
      <c r="E119" s="6" t="s">
        <v>1917</v>
      </c>
    </row>
    <row r="120" customFormat="false" ht="23.85" hidden="false" customHeight="false" outlineLevel="0" collapsed="false">
      <c r="A120" s="37" t="n">
        <v>46489</v>
      </c>
      <c r="B120" s="6" t="s">
        <v>1926</v>
      </c>
      <c r="C120" s="6" t="s">
        <v>1927</v>
      </c>
      <c r="D120" s="6" t="s">
        <v>1929</v>
      </c>
      <c r="E120" s="6" t="s">
        <v>1931</v>
      </c>
    </row>
    <row r="121" customFormat="false" ht="23.85" hidden="false" customHeight="false" outlineLevel="0" collapsed="false">
      <c r="A121" s="37" t="n">
        <v>46490</v>
      </c>
      <c r="B121" s="6" t="s">
        <v>1942</v>
      </c>
      <c r="C121" s="6" t="s">
        <v>1943</v>
      </c>
      <c r="D121" s="6" t="s">
        <v>1945</v>
      </c>
      <c r="E121" s="6" t="s">
        <v>1947</v>
      </c>
    </row>
    <row r="122" customFormat="false" ht="23.85" hidden="false" customHeight="false" outlineLevel="0" collapsed="false">
      <c r="A122" s="37" t="n">
        <v>46491</v>
      </c>
      <c r="B122" s="6" t="s">
        <v>1956</v>
      </c>
      <c r="C122" s="6" t="s">
        <v>1957</v>
      </c>
      <c r="D122" s="6" t="s">
        <v>1959</v>
      </c>
      <c r="E122" s="6" t="s">
        <v>1961</v>
      </c>
    </row>
    <row r="123" customFormat="false" ht="23.85" hidden="false" customHeight="false" outlineLevel="0" collapsed="false">
      <c r="A123" s="37" t="n">
        <v>46492</v>
      </c>
      <c r="B123" s="6" t="s">
        <v>1972</v>
      </c>
      <c r="C123" s="6" t="s">
        <v>1973</v>
      </c>
      <c r="D123" s="6" t="s">
        <v>1975</v>
      </c>
      <c r="E123" s="6" t="s">
        <v>1977</v>
      </c>
    </row>
    <row r="124" customFormat="false" ht="23.85" hidden="false" customHeight="false" outlineLevel="0" collapsed="false">
      <c r="A124" s="37" t="n">
        <v>46493</v>
      </c>
      <c r="B124" s="6" t="s">
        <v>1989</v>
      </c>
      <c r="C124" s="6" t="s">
        <v>1990</v>
      </c>
      <c r="D124" s="6" t="s">
        <v>1992</v>
      </c>
      <c r="E124" s="6" t="s">
        <v>1994</v>
      </c>
    </row>
    <row r="125" customFormat="false" ht="35.05" hidden="false" customHeight="false" outlineLevel="0" collapsed="false">
      <c r="A125" s="37" t="n">
        <v>46496</v>
      </c>
      <c r="B125" s="6" t="s">
        <v>2003</v>
      </c>
      <c r="C125" s="6" t="s">
        <v>2004</v>
      </c>
      <c r="D125" s="6" t="s">
        <v>2006</v>
      </c>
      <c r="E125" s="6" t="s">
        <v>2008</v>
      </c>
    </row>
    <row r="126" customFormat="false" ht="35.05" hidden="false" customHeight="false" outlineLevel="0" collapsed="false">
      <c r="A126" s="37" t="n">
        <v>46497</v>
      </c>
      <c r="B126" s="6" t="s">
        <v>2019</v>
      </c>
      <c r="C126" s="6" t="s">
        <v>2020</v>
      </c>
      <c r="D126" s="6" t="s">
        <v>2022</v>
      </c>
      <c r="E126" s="6" t="s">
        <v>2024</v>
      </c>
    </row>
    <row r="127" customFormat="false" ht="23.85" hidden="false" customHeight="false" outlineLevel="0" collapsed="false">
      <c r="A127" s="37" t="n">
        <v>46498</v>
      </c>
      <c r="B127" s="6" t="s">
        <v>2033</v>
      </c>
      <c r="C127" s="6" t="s">
        <v>2034</v>
      </c>
      <c r="D127" s="6" t="s">
        <v>2036</v>
      </c>
      <c r="E127" s="6" t="s">
        <v>2038</v>
      </c>
    </row>
    <row r="128" customFormat="false" ht="35.05" hidden="false" customHeight="false" outlineLevel="0" collapsed="false">
      <c r="A128" s="37" t="n">
        <v>46499</v>
      </c>
      <c r="B128" s="6" t="s">
        <v>2049</v>
      </c>
      <c r="C128" s="6" t="s">
        <v>2050</v>
      </c>
      <c r="D128" s="6" t="s">
        <v>2052</v>
      </c>
      <c r="E128" s="6" t="s">
        <v>2054</v>
      </c>
    </row>
    <row r="129" customFormat="false" ht="35.05" hidden="false" customHeight="false" outlineLevel="0" collapsed="false">
      <c r="A129" s="37" t="n">
        <v>46500</v>
      </c>
      <c r="B129" s="6" t="s">
        <v>2066</v>
      </c>
      <c r="C129" s="6" t="s">
        <v>2067</v>
      </c>
      <c r="D129" s="6" t="s">
        <v>2069</v>
      </c>
      <c r="E129" s="6" t="s">
        <v>2071</v>
      </c>
    </row>
    <row r="130" customFormat="false" ht="35.05" hidden="false" customHeight="false" outlineLevel="0" collapsed="false">
      <c r="A130" s="37" t="n">
        <v>46503</v>
      </c>
      <c r="B130" s="6" t="s">
        <v>2080</v>
      </c>
      <c r="C130" s="6" t="s">
        <v>2081</v>
      </c>
      <c r="D130" s="6" t="s">
        <v>2083</v>
      </c>
      <c r="E130" s="6" t="s">
        <v>2085</v>
      </c>
    </row>
    <row r="131" customFormat="false" ht="35.05" hidden="false" customHeight="false" outlineLevel="0" collapsed="false">
      <c r="A131" s="37" t="n">
        <v>46504</v>
      </c>
      <c r="B131" s="6" t="s">
        <v>2096</v>
      </c>
      <c r="C131" s="6" t="s">
        <v>2097</v>
      </c>
      <c r="D131" s="6" t="s">
        <v>2099</v>
      </c>
      <c r="E131" s="6" t="s">
        <v>2101</v>
      </c>
    </row>
    <row r="132" customFormat="false" ht="23.85" hidden="false" customHeight="false" outlineLevel="0" collapsed="false">
      <c r="A132" s="37" t="n">
        <v>46505</v>
      </c>
      <c r="B132" s="6" t="s">
        <v>2110</v>
      </c>
      <c r="C132" s="6" t="s">
        <v>2111</v>
      </c>
      <c r="D132" s="6" t="s">
        <v>2113</v>
      </c>
      <c r="E132" s="6" t="s">
        <v>2115</v>
      </c>
    </row>
    <row r="133" customFormat="false" ht="23.85" hidden="false" customHeight="false" outlineLevel="0" collapsed="false">
      <c r="A133" s="37" t="n">
        <v>46506</v>
      </c>
      <c r="B133" s="6" t="s">
        <v>2126</v>
      </c>
      <c r="C133" s="6" t="s">
        <v>2127</v>
      </c>
      <c r="D133" s="6" t="s">
        <v>2129</v>
      </c>
      <c r="E133" s="6" t="s">
        <v>2131</v>
      </c>
    </row>
    <row r="134" customFormat="false" ht="35.05" hidden="false" customHeight="false" outlineLevel="0" collapsed="false">
      <c r="A134" s="37" t="n">
        <v>46507</v>
      </c>
      <c r="B134" s="6" t="s">
        <v>2143</v>
      </c>
      <c r="C134" s="6" t="s">
        <v>2144</v>
      </c>
      <c r="D134" s="6" t="s">
        <v>2146</v>
      </c>
      <c r="E134" s="6" t="s">
        <v>2148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1A46"/>
    <pageSetUpPr fitToPage="false"/>
  </sheetPr>
  <dimension ref="A1:G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50"/>
    <col collapsed="false" customWidth="true" hidden="false" outlineLevel="0" max="4" min="4" style="0" width="40"/>
    <col collapsed="false" customWidth="true" hidden="false" outlineLevel="0" max="5" min="5" style="0" width="36"/>
    <col collapsed="false" customWidth="true" hidden="false" outlineLevel="0" max="7" min="6" style="0" width="10"/>
  </cols>
  <sheetData>
    <row r="1" customFormat="false" ht="22.05" hidden="false" customHeight="false" outlineLevel="0" collapsed="false">
      <c r="A1" s="1" t="s">
        <v>2356</v>
      </c>
    </row>
    <row r="2" customFormat="false" ht="15" hidden="false" customHeight="false" outlineLevel="0" collapsed="false">
      <c r="A2" s="2" t="s">
        <v>2357</v>
      </c>
    </row>
    <row r="4" customFormat="false" ht="15" hidden="false" customHeight="false" outlineLevel="0" collapsed="false">
      <c r="A4" s="15" t="s">
        <v>2358</v>
      </c>
      <c r="B4" s="15" t="s">
        <v>88</v>
      </c>
      <c r="C4" s="15" t="s">
        <v>89</v>
      </c>
      <c r="D4" s="15" t="s">
        <v>77</v>
      </c>
      <c r="E4" s="15" t="s">
        <v>2359</v>
      </c>
      <c r="F4" s="15" t="s">
        <v>2360</v>
      </c>
      <c r="G4" s="15" t="s">
        <v>2361</v>
      </c>
    </row>
    <row r="5" customFormat="false" ht="23.85" hidden="false" customHeight="false" outlineLevel="0" collapsed="false">
      <c r="A5" s="37" t="n">
        <v>46328</v>
      </c>
      <c r="B5" s="38" t="s">
        <v>120</v>
      </c>
      <c r="C5" s="6" t="s">
        <v>121</v>
      </c>
      <c r="D5" s="6" t="s">
        <v>109</v>
      </c>
      <c r="E5" s="6"/>
      <c r="F5" s="6" t="s">
        <v>2362</v>
      </c>
      <c r="G5" s="6" t="n">
        <v>0</v>
      </c>
    </row>
    <row r="6" customFormat="false" ht="23.85" hidden="false" customHeight="false" outlineLevel="0" collapsed="false">
      <c r="A6" s="37" t="n">
        <v>46329</v>
      </c>
      <c r="B6" s="38" t="s">
        <v>146</v>
      </c>
      <c r="C6" s="6" t="s">
        <v>147</v>
      </c>
      <c r="D6" s="6" t="s">
        <v>135</v>
      </c>
      <c r="E6" s="6"/>
      <c r="F6" s="6" t="s">
        <v>2362</v>
      </c>
      <c r="G6" s="6" t="n">
        <v>0</v>
      </c>
    </row>
    <row r="7" customFormat="false" ht="23.85" hidden="false" customHeight="false" outlineLevel="0" collapsed="false">
      <c r="A7" s="37" t="n">
        <v>46330</v>
      </c>
      <c r="B7" s="38" t="s">
        <v>167</v>
      </c>
      <c r="C7" s="6" t="s">
        <v>168</v>
      </c>
      <c r="D7" s="6" t="s">
        <v>156</v>
      </c>
      <c r="E7" s="6"/>
      <c r="F7" s="6" t="s">
        <v>2362</v>
      </c>
      <c r="G7" s="6" t="n">
        <v>0</v>
      </c>
    </row>
    <row r="8" customFormat="false" ht="23.85" hidden="false" customHeight="false" outlineLevel="0" collapsed="false">
      <c r="A8" s="37" t="n">
        <v>46331</v>
      </c>
      <c r="B8" s="38" t="s">
        <v>192</v>
      </c>
      <c r="C8" s="6" t="s">
        <v>193</v>
      </c>
      <c r="D8" s="6" t="s">
        <v>181</v>
      </c>
      <c r="E8" s="6"/>
      <c r="F8" s="6" t="s">
        <v>2362</v>
      </c>
      <c r="G8" s="6" t="n">
        <v>0</v>
      </c>
    </row>
    <row r="9" customFormat="false" ht="23.85" hidden="false" customHeight="false" outlineLevel="0" collapsed="false">
      <c r="A9" s="37" t="n">
        <v>46332</v>
      </c>
      <c r="B9" s="38" t="s">
        <v>213</v>
      </c>
      <c r="C9" s="6" t="s">
        <v>214</v>
      </c>
      <c r="D9" s="6" t="s">
        <v>202</v>
      </c>
      <c r="E9" s="6"/>
      <c r="F9" s="6" t="s">
        <v>2362</v>
      </c>
      <c r="G9" s="6" t="n">
        <v>0</v>
      </c>
    </row>
    <row r="10" customFormat="false" ht="23.85" hidden="false" customHeight="false" outlineLevel="0" collapsed="false">
      <c r="A10" s="37" t="n">
        <v>46335</v>
      </c>
      <c r="B10" s="38" t="s">
        <v>228</v>
      </c>
      <c r="C10" s="6" t="s">
        <v>229</v>
      </c>
      <c r="D10" s="6" t="s">
        <v>217</v>
      </c>
      <c r="E10" s="6"/>
      <c r="F10" s="6" t="s">
        <v>2362</v>
      </c>
      <c r="G10" s="6" t="n">
        <v>0</v>
      </c>
    </row>
    <row r="11" customFormat="false" ht="23.85" hidden="false" customHeight="false" outlineLevel="0" collapsed="false">
      <c r="A11" s="37" t="n">
        <v>46336</v>
      </c>
      <c r="B11" s="38" t="s">
        <v>245</v>
      </c>
      <c r="C11" s="6" t="s">
        <v>246</v>
      </c>
      <c r="D11" s="6" t="s">
        <v>234</v>
      </c>
      <c r="E11" s="6"/>
      <c r="F11" s="6" t="s">
        <v>2362</v>
      </c>
      <c r="G11" s="6" t="n">
        <v>0</v>
      </c>
    </row>
    <row r="12" customFormat="false" ht="23.85" hidden="false" customHeight="false" outlineLevel="0" collapsed="false">
      <c r="A12" s="37" t="n">
        <v>46337</v>
      </c>
      <c r="B12" s="38" t="s">
        <v>258</v>
      </c>
      <c r="C12" s="6" t="s">
        <v>259</v>
      </c>
      <c r="D12" s="6" t="s">
        <v>248</v>
      </c>
      <c r="E12" s="6"/>
      <c r="F12" s="6" t="s">
        <v>2362</v>
      </c>
      <c r="G12" s="6" t="n">
        <v>0</v>
      </c>
    </row>
    <row r="13" customFormat="false" ht="23.85" hidden="false" customHeight="false" outlineLevel="0" collapsed="false">
      <c r="A13" s="37" t="n">
        <v>46338</v>
      </c>
      <c r="B13" s="38" t="s">
        <v>275</v>
      </c>
      <c r="C13" s="6" t="s">
        <v>276</v>
      </c>
      <c r="D13" s="6" t="s">
        <v>264</v>
      </c>
      <c r="E13" s="6"/>
      <c r="F13" s="6" t="s">
        <v>2362</v>
      </c>
      <c r="G13" s="6" t="n">
        <v>0</v>
      </c>
    </row>
    <row r="14" customFormat="false" ht="23.85" hidden="false" customHeight="false" outlineLevel="0" collapsed="false">
      <c r="A14" s="37" t="n">
        <v>46339</v>
      </c>
      <c r="B14" s="38" t="s">
        <v>292</v>
      </c>
      <c r="C14" s="6" t="s">
        <v>293</v>
      </c>
      <c r="D14" s="6" t="s">
        <v>281</v>
      </c>
      <c r="E14" s="6"/>
      <c r="F14" s="6" t="s">
        <v>2362</v>
      </c>
      <c r="G14" s="6" t="n">
        <v>0</v>
      </c>
    </row>
    <row r="15" customFormat="false" ht="23.85" hidden="false" customHeight="false" outlineLevel="0" collapsed="false">
      <c r="A15" s="37" t="n">
        <v>46342</v>
      </c>
      <c r="B15" s="38" t="s">
        <v>306</v>
      </c>
      <c r="C15" s="6" t="s">
        <v>307</v>
      </c>
      <c r="D15" s="6" t="s">
        <v>295</v>
      </c>
      <c r="E15" s="6"/>
      <c r="F15" s="6" t="s">
        <v>2362</v>
      </c>
      <c r="G15" s="6" t="n">
        <v>0</v>
      </c>
    </row>
    <row r="16" customFormat="false" ht="23.85" hidden="false" customHeight="false" outlineLevel="0" collapsed="false">
      <c r="A16" s="37" t="n">
        <v>46343</v>
      </c>
      <c r="B16" s="38" t="s">
        <v>322</v>
      </c>
      <c r="C16" s="6" t="s">
        <v>323</v>
      </c>
      <c r="D16" s="6" t="s">
        <v>311</v>
      </c>
      <c r="E16" s="6"/>
      <c r="F16" s="6" t="s">
        <v>2362</v>
      </c>
      <c r="G16" s="6" t="n">
        <v>0</v>
      </c>
    </row>
    <row r="17" customFormat="false" ht="23.85" hidden="false" customHeight="false" outlineLevel="0" collapsed="false">
      <c r="A17" s="37" t="n">
        <v>46344</v>
      </c>
      <c r="B17" s="38" t="s">
        <v>335</v>
      </c>
      <c r="C17" s="6" t="s">
        <v>336</v>
      </c>
      <c r="D17" s="6" t="s">
        <v>325</v>
      </c>
      <c r="E17" s="6"/>
      <c r="F17" s="6" t="s">
        <v>2362</v>
      </c>
      <c r="G17" s="6" t="n">
        <v>0</v>
      </c>
    </row>
    <row r="18" customFormat="false" ht="23.85" hidden="false" customHeight="false" outlineLevel="0" collapsed="false">
      <c r="A18" s="37" t="n">
        <v>46345</v>
      </c>
      <c r="B18" s="38" t="s">
        <v>352</v>
      </c>
      <c r="C18" s="6" t="s">
        <v>353</v>
      </c>
      <c r="D18" s="6" t="s">
        <v>341</v>
      </c>
      <c r="E18" s="6"/>
      <c r="F18" s="6" t="s">
        <v>2362</v>
      </c>
      <c r="G18" s="6" t="n">
        <v>0</v>
      </c>
    </row>
    <row r="19" customFormat="false" ht="23.85" hidden="false" customHeight="false" outlineLevel="0" collapsed="false">
      <c r="A19" s="37" t="n">
        <v>46346</v>
      </c>
      <c r="B19" s="38" t="s">
        <v>369</v>
      </c>
      <c r="C19" s="6" t="s">
        <v>370</v>
      </c>
      <c r="D19" s="6" t="s">
        <v>358</v>
      </c>
      <c r="E19" s="6"/>
      <c r="F19" s="6" t="s">
        <v>2362</v>
      </c>
      <c r="G19" s="6" t="n">
        <v>0</v>
      </c>
    </row>
    <row r="20" customFormat="false" ht="23.85" hidden="false" customHeight="false" outlineLevel="0" collapsed="false">
      <c r="A20" s="37" t="n">
        <v>46349</v>
      </c>
      <c r="B20" s="38" t="s">
        <v>382</v>
      </c>
      <c r="C20" s="6" t="s">
        <v>383</v>
      </c>
      <c r="D20" s="6" t="s">
        <v>372</v>
      </c>
      <c r="E20" s="6"/>
      <c r="F20" s="6" t="s">
        <v>2362</v>
      </c>
      <c r="G20" s="6" t="n">
        <v>0</v>
      </c>
    </row>
    <row r="21" customFormat="false" ht="23.85" hidden="false" customHeight="false" outlineLevel="0" collapsed="false">
      <c r="A21" s="37" t="n">
        <v>46350</v>
      </c>
      <c r="B21" s="38" t="s">
        <v>398</v>
      </c>
      <c r="C21" s="6" t="s">
        <v>399</v>
      </c>
      <c r="D21" s="6" t="s">
        <v>387</v>
      </c>
      <c r="E21" s="6"/>
      <c r="F21" s="6" t="s">
        <v>2362</v>
      </c>
      <c r="G21" s="6" t="n">
        <v>0</v>
      </c>
    </row>
    <row r="22" customFormat="false" ht="23.85" hidden="false" customHeight="false" outlineLevel="0" collapsed="false">
      <c r="A22" s="37" t="n">
        <v>46351</v>
      </c>
      <c r="B22" s="38" t="s">
        <v>411</v>
      </c>
      <c r="C22" s="6" t="s">
        <v>412</v>
      </c>
      <c r="D22" s="6" t="s">
        <v>401</v>
      </c>
      <c r="E22" s="6"/>
      <c r="F22" s="6" t="s">
        <v>2362</v>
      </c>
      <c r="G22" s="6" t="n">
        <v>0</v>
      </c>
    </row>
    <row r="23" customFormat="false" ht="23.85" hidden="false" customHeight="false" outlineLevel="0" collapsed="false">
      <c r="A23" s="37" t="n">
        <v>46352</v>
      </c>
      <c r="B23" s="38" t="s">
        <v>428</v>
      </c>
      <c r="C23" s="6" t="s">
        <v>429</v>
      </c>
      <c r="D23" s="6" t="s">
        <v>417</v>
      </c>
      <c r="E23" s="6"/>
      <c r="F23" s="6" t="s">
        <v>2362</v>
      </c>
      <c r="G23" s="6" t="n">
        <v>0</v>
      </c>
    </row>
    <row r="24" customFormat="false" ht="23.85" hidden="false" customHeight="false" outlineLevel="0" collapsed="false">
      <c r="A24" s="37" t="n">
        <v>46353</v>
      </c>
      <c r="B24" s="38" t="s">
        <v>445</v>
      </c>
      <c r="C24" s="6" t="s">
        <v>446</v>
      </c>
      <c r="D24" s="6" t="s">
        <v>434</v>
      </c>
      <c r="E24" s="6"/>
      <c r="F24" s="6" t="s">
        <v>2362</v>
      </c>
      <c r="G24" s="6" t="n">
        <v>0</v>
      </c>
    </row>
    <row r="25" customFormat="false" ht="23.85" hidden="false" customHeight="false" outlineLevel="0" collapsed="false">
      <c r="A25" s="37" t="n">
        <v>46356</v>
      </c>
      <c r="B25" s="38" t="s">
        <v>459</v>
      </c>
      <c r="C25" s="6" t="s">
        <v>460</v>
      </c>
      <c r="D25" s="6" t="s">
        <v>448</v>
      </c>
      <c r="E25" s="6"/>
      <c r="F25" s="6" t="s">
        <v>2362</v>
      </c>
      <c r="G25" s="6" t="n">
        <v>0</v>
      </c>
    </row>
    <row r="26" customFormat="false" ht="23.85" hidden="false" customHeight="false" outlineLevel="0" collapsed="false">
      <c r="A26" s="37" t="n">
        <v>46357</v>
      </c>
      <c r="B26" s="38" t="s">
        <v>477</v>
      </c>
      <c r="C26" s="6" t="s">
        <v>478</v>
      </c>
      <c r="D26" s="6" t="s">
        <v>466</v>
      </c>
      <c r="E26" s="6"/>
      <c r="F26" s="6" t="s">
        <v>2362</v>
      </c>
      <c r="G26" s="6" t="n">
        <v>0</v>
      </c>
    </row>
    <row r="27" customFormat="false" ht="23.85" hidden="false" customHeight="false" outlineLevel="0" collapsed="false">
      <c r="A27" s="37" t="n">
        <v>46358</v>
      </c>
      <c r="B27" s="38" t="s">
        <v>490</v>
      </c>
      <c r="C27" s="6" t="s">
        <v>491</v>
      </c>
      <c r="D27" s="6" t="s">
        <v>480</v>
      </c>
      <c r="E27" s="6"/>
      <c r="F27" s="6" t="s">
        <v>2362</v>
      </c>
      <c r="G27" s="6" t="n">
        <v>0</v>
      </c>
    </row>
    <row r="28" customFormat="false" ht="23.85" hidden="false" customHeight="false" outlineLevel="0" collapsed="false">
      <c r="A28" s="37" t="n">
        <v>46359</v>
      </c>
      <c r="B28" s="38" t="s">
        <v>507</v>
      </c>
      <c r="C28" s="6" t="s">
        <v>508</v>
      </c>
      <c r="D28" s="6" t="s">
        <v>496</v>
      </c>
      <c r="E28" s="6"/>
      <c r="F28" s="6" t="s">
        <v>2362</v>
      </c>
      <c r="G28" s="6" t="n">
        <v>0</v>
      </c>
    </row>
    <row r="29" customFormat="false" ht="23.85" hidden="false" customHeight="false" outlineLevel="0" collapsed="false">
      <c r="A29" s="37" t="n">
        <v>46360</v>
      </c>
      <c r="B29" s="38" t="s">
        <v>524</v>
      </c>
      <c r="C29" s="6" t="s">
        <v>525</v>
      </c>
      <c r="D29" s="6" t="s">
        <v>513</v>
      </c>
      <c r="E29" s="6"/>
      <c r="F29" s="6" t="s">
        <v>2362</v>
      </c>
      <c r="G29" s="6" t="n">
        <v>0</v>
      </c>
    </row>
    <row r="30" customFormat="false" ht="23.85" hidden="false" customHeight="false" outlineLevel="0" collapsed="false">
      <c r="A30" s="37" t="n">
        <v>46363</v>
      </c>
      <c r="B30" s="38" t="s">
        <v>538</v>
      </c>
      <c r="C30" s="6" t="s">
        <v>539</v>
      </c>
      <c r="D30" s="6" t="s">
        <v>527</v>
      </c>
      <c r="E30" s="6"/>
      <c r="F30" s="6" t="s">
        <v>2362</v>
      </c>
      <c r="G30" s="6" t="n">
        <v>0</v>
      </c>
    </row>
    <row r="31" customFormat="false" ht="23.85" hidden="false" customHeight="false" outlineLevel="0" collapsed="false">
      <c r="A31" s="37" t="n">
        <v>46364</v>
      </c>
      <c r="B31" s="38" t="s">
        <v>554</v>
      </c>
      <c r="C31" s="6" t="s">
        <v>555</v>
      </c>
      <c r="D31" s="6" t="s">
        <v>544</v>
      </c>
      <c r="E31" s="6"/>
      <c r="F31" s="6" t="s">
        <v>2362</v>
      </c>
      <c r="G31" s="6" t="n">
        <v>0</v>
      </c>
    </row>
    <row r="32" customFormat="false" ht="23.85" hidden="false" customHeight="false" outlineLevel="0" collapsed="false">
      <c r="A32" s="37" t="n">
        <v>46365</v>
      </c>
      <c r="B32" s="38" t="s">
        <v>567</v>
      </c>
      <c r="C32" s="6" t="s">
        <v>568</v>
      </c>
      <c r="D32" s="6" t="s">
        <v>557</v>
      </c>
      <c r="E32" s="6"/>
      <c r="F32" s="6" t="s">
        <v>2362</v>
      </c>
      <c r="G32" s="6" t="n">
        <v>0</v>
      </c>
    </row>
    <row r="33" customFormat="false" ht="23.85" hidden="false" customHeight="false" outlineLevel="0" collapsed="false">
      <c r="A33" s="37" t="n">
        <v>46366</v>
      </c>
      <c r="B33" s="38" t="s">
        <v>584</v>
      </c>
      <c r="C33" s="6" t="s">
        <v>585</v>
      </c>
      <c r="D33" s="6" t="s">
        <v>573</v>
      </c>
      <c r="E33" s="6"/>
      <c r="F33" s="6" t="s">
        <v>2362</v>
      </c>
      <c r="G33" s="6" t="n">
        <v>0</v>
      </c>
    </row>
    <row r="34" customFormat="false" ht="23.85" hidden="false" customHeight="false" outlineLevel="0" collapsed="false">
      <c r="A34" s="37" t="n">
        <v>46367</v>
      </c>
      <c r="B34" s="38" t="s">
        <v>601</v>
      </c>
      <c r="C34" s="6" t="s">
        <v>602</v>
      </c>
      <c r="D34" s="6" t="s">
        <v>590</v>
      </c>
      <c r="E34" s="6"/>
      <c r="F34" s="6" t="s">
        <v>2362</v>
      </c>
      <c r="G34" s="6" t="n">
        <v>0</v>
      </c>
    </row>
    <row r="35" customFormat="false" ht="23.85" hidden="false" customHeight="false" outlineLevel="0" collapsed="false">
      <c r="A35" s="37" t="n">
        <v>46370</v>
      </c>
      <c r="B35" s="38" t="s">
        <v>615</v>
      </c>
      <c r="C35" s="6" t="s">
        <v>616</v>
      </c>
      <c r="D35" s="6" t="s">
        <v>604</v>
      </c>
      <c r="E35" s="6"/>
      <c r="F35" s="6" t="s">
        <v>2362</v>
      </c>
      <c r="G35" s="6" t="n">
        <v>0</v>
      </c>
    </row>
    <row r="36" customFormat="false" ht="23.85" hidden="false" customHeight="false" outlineLevel="0" collapsed="false">
      <c r="A36" s="37" t="n">
        <v>46371</v>
      </c>
      <c r="B36" s="38" t="s">
        <v>631</v>
      </c>
      <c r="C36" s="6" t="s">
        <v>632</v>
      </c>
      <c r="D36" s="6" t="s">
        <v>620</v>
      </c>
      <c r="E36" s="6"/>
      <c r="F36" s="6" t="s">
        <v>2362</v>
      </c>
      <c r="G36" s="6" t="n">
        <v>0</v>
      </c>
    </row>
    <row r="37" customFormat="false" ht="23.85" hidden="false" customHeight="false" outlineLevel="0" collapsed="false">
      <c r="A37" s="37" t="n">
        <v>46372</v>
      </c>
      <c r="B37" s="38" t="s">
        <v>644</v>
      </c>
      <c r="C37" s="6" t="s">
        <v>645</v>
      </c>
      <c r="D37" s="6" t="s">
        <v>634</v>
      </c>
      <c r="E37" s="6"/>
      <c r="F37" s="6" t="s">
        <v>2362</v>
      </c>
      <c r="G37" s="6" t="n">
        <v>0</v>
      </c>
    </row>
    <row r="38" customFormat="false" ht="23.85" hidden="false" customHeight="false" outlineLevel="0" collapsed="false">
      <c r="A38" s="37" t="n">
        <v>46373</v>
      </c>
      <c r="B38" s="38" t="s">
        <v>661</v>
      </c>
      <c r="C38" s="6" t="s">
        <v>662</v>
      </c>
      <c r="D38" s="6" t="s">
        <v>650</v>
      </c>
      <c r="E38" s="6"/>
      <c r="F38" s="6" t="s">
        <v>2362</v>
      </c>
      <c r="G38" s="6" t="n">
        <v>0</v>
      </c>
    </row>
    <row r="39" customFormat="false" ht="23.85" hidden="false" customHeight="false" outlineLevel="0" collapsed="false">
      <c r="A39" s="37" t="n">
        <v>46374</v>
      </c>
      <c r="B39" s="38" t="s">
        <v>678</v>
      </c>
      <c r="C39" s="6" t="s">
        <v>679</v>
      </c>
      <c r="D39" s="6" t="s">
        <v>667</v>
      </c>
      <c r="E39" s="6"/>
      <c r="F39" s="6" t="s">
        <v>2362</v>
      </c>
      <c r="G39" s="6" t="n">
        <v>0</v>
      </c>
    </row>
    <row r="40" customFormat="false" ht="23.85" hidden="false" customHeight="false" outlineLevel="0" collapsed="false">
      <c r="A40" s="37" t="n">
        <v>46377</v>
      </c>
      <c r="B40" s="38" t="s">
        <v>692</v>
      </c>
      <c r="C40" s="6" t="s">
        <v>693</v>
      </c>
      <c r="D40" s="6" t="s">
        <v>681</v>
      </c>
      <c r="E40" s="6"/>
      <c r="F40" s="6" t="s">
        <v>2362</v>
      </c>
      <c r="G40" s="6" t="n">
        <v>0</v>
      </c>
    </row>
    <row r="41" customFormat="false" ht="23.85" hidden="false" customHeight="false" outlineLevel="0" collapsed="false">
      <c r="A41" s="37" t="n">
        <v>46378</v>
      </c>
      <c r="B41" s="38" t="s">
        <v>709</v>
      </c>
      <c r="C41" s="6" t="s">
        <v>710</v>
      </c>
      <c r="D41" s="6" t="s">
        <v>698</v>
      </c>
      <c r="E41" s="6"/>
      <c r="F41" s="6" t="s">
        <v>2362</v>
      </c>
      <c r="G41" s="6" t="n">
        <v>0</v>
      </c>
    </row>
    <row r="42" customFormat="false" ht="23.85" hidden="false" customHeight="false" outlineLevel="0" collapsed="false">
      <c r="A42" s="37" t="n">
        <v>46379</v>
      </c>
      <c r="B42" s="38" t="s">
        <v>722</v>
      </c>
      <c r="C42" s="6" t="s">
        <v>723</v>
      </c>
      <c r="D42" s="6" t="s">
        <v>712</v>
      </c>
      <c r="E42" s="6"/>
      <c r="F42" s="6" t="s">
        <v>2362</v>
      </c>
      <c r="G42" s="6" t="n">
        <v>0</v>
      </c>
    </row>
    <row r="43" customFormat="false" ht="23.85" hidden="false" customHeight="false" outlineLevel="0" collapsed="false">
      <c r="A43" s="37" t="n">
        <v>46380</v>
      </c>
      <c r="B43" s="38" t="s">
        <v>739</v>
      </c>
      <c r="C43" s="6" t="s">
        <v>740</v>
      </c>
      <c r="D43" s="6" t="s">
        <v>728</v>
      </c>
      <c r="E43" s="6"/>
      <c r="F43" s="6" t="s">
        <v>2362</v>
      </c>
      <c r="G43" s="6" t="n">
        <v>0</v>
      </c>
    </row>
    <row r="44" customFormat="false" ht="23.85" hidden="false" customHeight="false" outlineLevel="0" collapsed="false">
      <c r="A44" s="37" t="n">
        <v>46381</v>
      </c>
      <c r="B44" s="38" t="s">
        <v>756</v>
      </c>
      <c r="C44" s="6" t="s">
        <v>757</v>
      </c>
      <c r="D44" s="6" t="s">
        <v>745</v>
      </c>
      <c r="E44" s="6"/>
      <c r="F44" s="6" t="s">
        <v>2362</v>
      </c>
      <c r="G44" s="6" t="n">
        <v>0</v>
      </c>
    </row>
    <row r="45" customFormat="false" ht="23.85" hidden="false" customHeight="false" outlineLevel="0" collapsed="false">
      <c r="A45" s="37" t="n">
        <v>46384</v>
      </c>
      <c r="B45" s="38" t="s">
        <v>770</v>
      </c>
      <c r="C45" s="6" t="s">
        <v>771</v>
      </c>
      <c r="D45" s="6" t="s">
        <v>759</v>
      </c>
      <c r="E45" s="6"/>
      <c r="F45" s="6" t="s">
        <v>2362</v>
      </c>
      <c r="G45" s="6" t="n">
        <v>0</v>
      </c>
    </row>
    <row r="46" customFormat="false" ht="23.85" hidden="false" customHeight="false" outlineLevel="0" collapsed="false">
      <c r="A46" s="37" t="n">
        <v>46385</v>
      </c>
      <c r="B46" s="38" t="s">
        <v>786</v>
      </c>
      <c r="C46" s="6" t="s">
        <v>787</v>
      </c>
      <c r="D46" s="6" t="s">
        <v>775</v>
      </c>
      <c r="E46" s="6"/>
      <c r="F46" s="6" t="s">
        <v>2362</v>
      </c>
      <c r="G46" s="6" t="n">
        <v>0</v>
      </c>
    </row>
    <row r="47" customFormat="false" ht="23.85" hidden="false" customHeight="false" outlineLevel="0" collapsed="false">
      <c r="A47" s="37" t="n">
        <v>46386</v>
      </c>
      <c r="B47" s="38" t="s">
        <v>799</v>
      </c>
      <c r="C47" s="6" t="s">
        <v>800</v>
      </c>
      <c r="D47" s="6" t="s">
        <v>789</v>
      </c>
      <c r="E47" s="6"/>
      <c r="F47" s="6" t="s">
        <v>2362</v>
      </c>
      <c r="G47" s="6" t="n">
        <v>0</v>
      </c>
    </row>
    <row r="48" customFormat="false" ht="23.85" hidden="false" customHeight="false" outlineLevel="0" collapsed="false">
      <c r="A48" s="37" t="n">
        <v>46387</v>
      </c>
      <c r="B48" s="38" t="s">
        <v>816</v>
      </c>
      <c r="C48" s="6" t="s">
        <v>817</v>
      </c>
      <c r="D48" s="6" t="s">
        <v>805</v>
      </c>
      <c r="E48" s="6"/>
      <c r="F48" s="6" t="s">
        <v>2362</v>
      </c>
      <c r="G48" s="6" t="n">
        <v>0</v>
      </c>
    </row>
    <row r="49" customFormat="false" ht="23.85" hidden="false" customHeight="false" outlineLevel="0" collapsed="false">
      <c r="A49" s="37" t="n">
        <v>46388</v>
      </c>
      <c r="B49" s="38" t="s">
        <v>835</v>
      </c>
      <c r="C49" s="6" t="s">
        <v>836</v>
      </c>
      <c r="D49" s="6" t="s">
        <v>824</v>
      </c>
      <c r="E49" s="6"/>
      <c r="F49" s="6" t="s">
        <v>2362</v>
      </c>
      <c r="G49" s="6" t="n">
        <v>0</v>
      </c>
    </row>
    <row r="50" customFormat="false" ht="23.85" hidden="false" customHeight="false" outlineLevel="0" collapsed="false">
      <c r="A50" s="37" t="n">
        <v>46391</v>
      </c>
      <c r="B50" s="38" t="s">
        <v>849</v>
      </c>
      <c r="C50" s="6" t="s">
        <v>850</v>
      </c>
      <c r="D50" s="6" t="s">
        <v>838</v>
      </c>
      <c r="E50" s="6"/>
      <c r="F50" s="6" t="s">
        <v>2362</v>
      </c>
      <c r="G50" s="6" t="n">
        <v>0</v>
      </c>
    </row>
    <row r="51" customFormat="false" ht="15" hidden="false" customHeight="false" outlineLevel="0" collapsed="false">
      <c r="A51" s="37" t="n">
        <v>46392</v>
      </c>
      <c r="B51" s="38" t="s">
        <v>865</v>
      </c>
      <c r="C51" s="6" t="s">
        <v>866</v>
      </c>
      <c r="D51" s="6" t="s">
        <v>854</v>
      </c>
      <c r="E51" s="6"/>
      <c r="F51" s="6" t="s">
        <v>2362</v>
      </c>
      <c r="G51" s="6" t="n">
        <v>0</v>
      </c>
    </row>
    <row r="52" customFormat="false" ht="23.85" hidden="false" customHeight="false" outlineLevel="0" collapsed="false">
      <c r="A52" s="37" t="n">
        <v>46393</v>
      </c>
      <c r="B52" s="38" t="s">
        <v>878</v>
      </c>
      <c r="C52" s="6" t="s">
        <v>879</v>
      </c>
      <c r="D52" s="6" t="s">
        <v>868</v>
      </c>
      <c r="E52" s="6"/>
      <c r="F52" s="6" t="s">
        <v>2362</v>
      </c>
      <c r="G52" s="6" t="n">
        <v>0</v>
      </c>
    </row>
    <row r="53" customFormat="false" ht="23.85" hidden="false" customHeight="false" outlineLevel="0" collapsed="false">
      <c r="A53" s="37" t="n">
        <v>46394</v>
      </c>
      <c r="B53" s="38" t="s">
        <v>895</v>
      </c>
      <c r="C53" s="6" t="s">
        <v>896</v>
      </c>
      <c r="D53" s="6" t="s">
        <v>884</v>
      </c>
      <c r="E53" s="6"/>
      <c r="F53" s="6" t="s">
        <v>2362</v>
      </c>
      <c r="G53" s="6" t="n">
        <v>0</v>
      </c>
    </row>
    <row r="54" customFormat="false" ht="15" hidden="false" customHeight="false" outlineLevel="0" collapsed="false">
      <c r="A54" s="37" t="n">
        <v>46395</v>
      </c>
      <c r="B54" s="38" t="s">
        <v>912</v>
      </c>
      <c r="C54" s="6" t="s">
        <v>913</v>
      </c>
      <c r="D54" s="6" t="s">
        <v>901</v>
      </c>
      <c r="E54" s="6"/>
      <c r="F54" s="6" t="s">
        <v>2362</v>
      </c>
      <c r="G54" s="6" t="n">
        <v>0</v>
      </c>
    </row>
    <row r="55" customFormat="false" ht="23.85" hidden="false" customHeight="false" outlineLevel="0" collapsed="false">
      <c r="A55" s="37" t="n">
        <v>46398</v>
      </c>
      <c r="B55" s="38" t="s">
        <v>926</v>
      </c>
      <c r="C55" s="6" t="s">
        <v>927</v>
      </c>
      <c r="D55" s="6" t="s">
        <v>915</v>
      </c>
      <c r="E55" s="6"/>
      <c r="F55" s="6" t="s">
        <v>2362</v>
      </c>
      <c r="G55" s="6" t="n">
        <v>0</v>
      </c>
    </row>
    <row r="56" customFormat="false" ht="23.85" hidden="false" customHeight="false" outlineLevel="0" collapsed="false">
      <c r="A56" s="37" t="n">
        <v>46399</v>
      </c>
      <c r="B56" s="38" t="s">
        <v>942</v>
      </c>
      <c r="C56" s="6" t="s">
        <v>943</v>
      </c>
      <c r="D56" s="6" t="s">
        <v>931</v>
      </c>
      <c r="E56" s="6"/>
      <c r="F56" s="6" t="s">
        <v>2362</v>
      </c>
      <c r="G56" s="6" t="n">
        <v>0</v>
      </c>
    </row>
    <row r="57" customFormat="false" ht="15" hidden="false" customHeight="false" outlineLevel="0" collapsed="false">
      <c r="A57" s="37" t="n">
        <v>46400</v>
      </c>
      <c r="B57" s="38" t="s">
        <v>955</v>
      </c>
      <c r="C57" s="6" t="s">
        <v>956</v>
      </c>
      <c r="D57" s="6" t="s">
        <v>945</v>
      </c>
      <c r="E57" s="6"/>
      <c r="F57" s="6" t="s">
        <v>2362</v>
      </c>
      <c r="G57" s="6" t="n">
        <v>0</v>
      </c>
    </row>
    <row r="58" customFormat="false" ht="23.85" hidden="false" customHeight="false" outlineLevel="0" collapsed="false">
      <c r="A58" s="37" t="n">
        <v>46401</v>
      </c>
      <c r="B58" s="38" t="s">
        <v>972</v>
      </c>
      <c r="C58" s="6" t="s">
        <v>973</v>
      </c>
      <c r="D58" s="6" t="s">
        <v>961</v>
      </c>
      <c r="E58" s="6"/>
      <c r="F58" s="6" t="s">
        <v>2362</v>
      </c>
      <c r="G58" s="6" t="n">
        <v>0</v>
      </c>
    </row>
    <row r="59" customFormat="false" ht="23.85" hidden="false" customHeight="false" outlineLevel="0" collapsed="false">
      <c r="A59" s="37" t="n">
        <v>46402</v>
      </c>
      <c r="B59" s="38" t="s">
        <v>988</v>
      </c>
      <c r="C59" s="6" t="s">
        <v>989</v>
      </c>
      <c r="D59" s="6" t="s">
        <v>978</v>
      </c>
      <c r="E59" s="6"/>
      <c r="F59" s="6" t="s">
        <v>2362</v>
      </c>
      <c r="G59" s="6" t="n">
        <v>0</v>
      </c>
    </row>
    <row r="60" customFormat="false" ht="23.85" hidden="false" customHeight="false" outlineLevel="0" collapsed="false">
      <c r="A60" s="37" t="n">
        <v>46405</v>
      </c>
      <c r="B60" s="38" t="s">
        <v>1002</v>
      </c>
      <c r="C60" s="6" t="s">
        <v>1003</v>
      </c>
      <c r="D60" s="6" t="s">
        <v>991</v>
      </c>
      <c r="E60" s="6"/>
      <c r="F60" s="6" t="s">
        <v>2362</v>
      </c>
      <c r="G60" s="6" t="n">
        <v>0</v>
      </c>
    </row>
    <row r="61" customFormat="false" ht="23.85" hidden="false" customHeight="false" outlineLevel="0" collapsed="false">
      <c r="A61" s="37" t="n">
        <v>46406</v>
      </c>
      <c r="B61" s="38" t="s">
        <v>1018</v>
      </c>
      <c r="C61" s="6" t="s">
        <v>1019</v>
      </c>
      <c r="D61" s="6" t="s">
        <v>1007</v>
      </c>
      <c r="E61" s="6"/>
      <c r="F61" s="6" t="s">
        <v>2362</v>
      </c>
      <c r="G61" s="6" t="n">
        <v>0</v>
      </c>
    </row>
    <row r="62" customFormat="false" ht="23.85" hidden="false" customHeight="false" outlineLevel="0" collapsed="false">
      <c r="A62" s="37" t="n">
        <v>46407</v>
      </c>
      <c r="B62" s="38" t="s">
        <v>1031</v>
      </c>
      <c r="C62" s="6" t="s">
        <v>1032</v>
      </c>
      <c r="D62" s="6" t="s">
        <v>1021</v>
      </c>
      <c r="E62" s="6"/>
      <c r="F62" s="6" t="s">
        <v>2362</v>
      </c>
      <c r="G62" s="6" t="n">
        <v>0</v>
      </c>
    </row>
    <row r="63" customFormat="false" ht="23.85" hidden="false" customHeight="false" outlineLevel="0" collapsed="false">
      <c r="A63" s="37" t="n">
        <v>46408</v>
      </c>
      <c r="B63" s="38" t="s">
        <v>1048</v>
      </c>
      <c r="C63" s="6" t="s">
        <v>1049</v>
      </c>
      <c r="D63" s="6" t="s">
        <v>1037</v>
      </c>
      <c r="E63" s="6"/>
      <c r="F63" s="6" t="s">
        <v>2362</v>
      </c>
      <c r="G63" s="6" t="n">
        <v>0</v>
      </c>
    </row>
    <row r="64" customFormat="false" ht="23.85" hidden="false" customHeight="false" outlineLevel="0" collapsed="false">
      <c r="A64" s="37" t="n">
        <v>46409</v>
      </c>
      <c r="B64" s="38" t="s">
        <v>1065</v>
      </c>
      <c r="C64" s="6" t="s">
        <v>1066</v>
      </c>
      <c r="D64" s="6" t="s">
        <v>1054</v>
      </c>
      <c r="E64" s="6"/>
      <c r="F64" s="6" t="s">
        <v>2362</v>
      </c>
      <c r="G64" s="6" t="n">
        <v>0</v>
      </c>
    </row>
    <row r="65" customFormat="false" ht="23.85" hidden="false" customHeight="false" outlineLevel="0" collapsed="false">
      <c r="A65" s="37" t="n">
        <v>46412</v>
      </c>
      <c r="B65" s="38" t="s">
        <v>1079</v>
      </c>
      <c r="C65" s="6" t="s">
        <v>1080</v>
      </c>
      <c r="D65" s="6" t="s">
        <v>1068</v>
      </c>
      <c r="E65" s="6"/>
      <c r="F65" s="6" t="s">
        <v>2362</v>
      </c>
      <c r="G65" s="6" t="n">
        <v>0</v>
      </c>
    </row>
    <row r="66" customFormat="false" ht="15" hidden="false" customHeight="false" outlineLevel="0" collapsed="false">
      <c r="A66" s="37" t="n">
        <v>46413</v>
      </c>
      <c r="B66" s="38" t="s">
        <v>1096</v>
      </c>
      <c r="C66" s="6" t="s">
        <v>1097</v>
      </c>
      <c r="D66" s="6" t="s">
        <v>1085</v>
      </c>
      <c r="E66" s="6"/>
      <c r="F66" s="6" t="s">
        <v>2362</v>
      </c>
      <c r="G66" s="6" t="n">
        <v>0</v>
      </c>
    </row>
    <row r="67" customFormat="false" ht="15" hidden="false" customHeight="false" outlineLevel="0" collapsed="false">
      <c r="A67" s="37" t="n">
        <v>46414</v>
      </c>
      <c r="B67" s="38" t="s">
        <v>1109</v>
      </c>
      <c r="C67" s="6" t="s">
        <v>1110</v>
      </c>
      <c r="D67" s="6" t="s">
        <v>1099</v>
      </c>
      <c r="E67" s="6"/>
      <c r="F67" s="6" t="s">
        <v>2362</v>
      </c>
      <c r="G67" s="6" t="n">
        <v>0</v>
      </c>
    </row>
    <row r="68" customFormat="false" ht="23.85" hidden="false" customHeight="false" outlineLevel="0" collapsed="false">
      <c r="A68" s="37" t="n">
        <v>46415</v>
      </c>
      <c r="B68" s="38" t="s">
        <v>1126</v>
      </c>
      <c r="C68" s="6" t="s">
        <v>1127</v>
      </c>
      <c r="D68" s="6" t="s">
        <v>1115</v>
      </c>
      <c r="E68" s="6"/>
      <c r="F68" s="6" t="s">
        <v>2362</v>
      </c>
      <c r="G68" s="6" t="n">
        <v>0</v>
      </c>
    </row>
    <row r="69" customFormat="false" ht="23.85" hidden="false" customHeight="false" outlineLevel="0" collapsed="false">
      <c r="A69" s="37" t="n">
        <v>46416</v>
      </c>
      <c r="B69" s="38" t="s">
        <v>1143</v>
      </c>
      <c r="C69" s="6" t="s">
        <v>1144</v>
      </c>
      <c r="D69" s="6" t="s">
        <v>1132</v>
      </c>
      <c r="E69" s="6"/>
      <c r="F69" s="6" t="s">
        <v>2362</v>
      </c>
      <c r="G69" s="6" t="n">
        <v>0</v>
      </c>
    </row>
    <row r="70" customFormat="false" ht="23.85" hidden="false" customHeight="false" outlineLevel="0" collapsed="false">
      <c r="A70" s="37" t="n">
        <v>46419</v>
      </c>
      <c r="B70" s="38" t="s">
        <v>1159</v>
      </c>
      <c r="C70" s="6" t="s">
        <v>1160</v>
      </c>
      <c r="D70" s="6" t="s">
        <v>1148</v>
      </c>
      <c r="E70" s="6"/>
      <c r="F70" s="6" t="s">
        <v>2362</v>
      </c>
      <c r="G70" s="6" t="n">
        <v>0</v>
      </c>
    </row>
    <row r="71" customFormat="false" ht="23.85" hidden="false" customHeight="false" outlineLevel="0" collapsed="false">
      <c r="A71" s="37" t="n">
        <v>46420</v>
      </c>
      <c r="B71" s="38" t="s">
        <v>1175</v>
      </c>
      <c r="C71" s="6" t="s">
        <v>1176</v>
      </c>
      <c r="D71" s="6" t="s">
        <v>1164</v>
      </c>
      <c r="E71" s="6"/>
      <c r="F71" s="6" t="s">
        <v>2362</v>
      </c>
      <c r="G71" s="6" t="n">
        <v>0</v>
      </c>
    </row>
    <row r="72" customFormat="false" ht="23.85" hidden="false" customHeight="false" outlineLevel="0" collapsed="false">
      <c r="A72" s="37" t="n">
        <v>46421</v>
      </c>
      <c r="B72" s="38" t="s">
        <v>1188</v>
      </c>
      <c r="C72" s="6" t="s">
        <v>1189</v>
      </c>
      <c r="D72" s="6" t="s">
        <v>1178</v>
      </c>
      <c r="E72" s="6"/>
      <c r="F72" s="6" t="s">
        <v>2362</v>
      </c>
      <c r="G72" s="6" t="n">
        <v>0</v>
      </c>
    </row>
    <row r="73" customFormat="false" ht="23.85" hidden="false" customHeight="false" outlineLevel="0" collapsed="false">
      <c r="A73" s="37" t="n">
        <v>46422</v>
      </c>
      <c r="B73" s="38" t="s">
        <v>1205</v>
      </c>
      <c r="C73" s="6" t="s">
        <v>1206</v>
      </c>
      <c r="D73" s="6" t="s">
        <v>1194</v>
      </c>
      <c r="E73" s="6"/>
      <c r="F73" s="6" t="s">
        <v>2362</v>
      </c>
      <c r="G73" s="6" t="n">
        <v>0</v>
      </c>
    </row>
    <row r="74" customFormat="false" ht="23.85" hidden="false" customHeight="false" outlineLevel="0" collapsed="false">
      <c r="A74" s="37" t="n">
        <v>46423</v>
      </c>
      <c r="B74" s="38" t="s">
        <v>1222</v>
      </c>
      <c r="C74" s="6" t="s">
        <v>1223</v>
      </c>
      <c r="D74" s="6" t="s">
        <v>1211</v>
      </c>
      <c r="E74" s="6"/>
      <c r="F74" s="6" t="s">
        <v>2362</v>
      </c>
      <c r="G74" s="6" t="n">
        <v>0</v>
      </c>
    </row>
    <row r="75" customFormat="false" ht="23.85" hidden="false" customHeight="false" outlineLevel="0" collapsed="false">
      <c r="A75" s="37" t="n">
        <v>46426</v>
      </c>
      <c r="B75" s="38" t="s">
        <v>1236</v>
      </c>
      <c r="C75" s="6" t="s">
        <v>1237</v>
      </c>
      <c r="D75" s="6" t="s">
        <v>1225</v>
      </c>
      <c r="E75" s="6"/>
      <c r="F75" s="6" t="s">
        <v>2362</v>
      </c>
      <c r="G75" s="6" t="n">
        <v>0</v>
      </c>
    </row>
    <row r="76" customFormat="false" ht="23.85" hidden="false" customHeight="false" outlineLevel="0" collapsed="false">
      <c r="A76" s="37" t="n">
        <v>46427</v>
      </c>
      <c r="B76" s="38" t="s">
        <v>1252</v>
      </c>
      <c r="C76" s="6" t="s">
        <v>1253</v>
      </c>
      <c r="D76" s="6" t="s">
        <v>1241</v>
      </c>
      <c r="E76" s="6"/>
      <c r="F76" s="6" t="s">
        <v>2362</v>
      </c>
      <c r="G76" s="6" t="n">
        <v>0</v>
      </c>
    </row>
    <row r="77" customFormat="false" ht="23.85" hidden="false" customHeight="false" outlineLevel="0" collapsed="false">
      <c r="A77" s="37" t="n">
        <v>46428</v>
      </c>
      <c r="B77" s="38" t="s">
        <v>1265</v>
      </c>
      <c r="C77" s="6" t="s">
        <v>1266</v>
      </c>
      <c r="D77" s="6" t="s">
        <v>1255</v>
      </c>
      <c r="E77" s="6"/>
      <c r="F77" s="6" t="s">
        <v>2362</v>
      </c>
      <c r="G77" s="6" t="n">
        <v>0</v>
      </c>
    </row>
    <row r="78" customFormat="false" ht="23.85" hidden="false" customHeight="false" outlineLevel="0" collapsed="false">
      <c r="A78" s="37" t="n">
        <v>46429</v>
      </c>
      <c r="B78" s="38" t="s">
        <v>1282</v>
      </c>
      <c r="C78" s="6" t="s">
        <v>1283</v>
      </c>
      <c r="D78" s="6" t="s">
        <v>1271</v>
      </c>
      <c r="E78" s="6"/>
      <c r="F78" s="6" t="s">
        <v>2362</v>
      </c>
      <c r="G78" s="6" t="n">
        <v>0</v>
      </c>
    </row>
    <row r="79" customFormat="false" ht="23.85" hidden="false" customHeight="false" outlineLevel="0" collapsed="false">
      <c r="A79" s="37" t="n">
        <v>46430</v>
      </c>
      <c r="B79" s="38" t="s">
        <v>1299</v>
      </c>
      <c r="C79" s="6" t="s">
        <v>1300</v>
      </c>
      <c r="D79" s="6" t="s">
        <v>1288</v>
      </c>
      <c r="E79" s="6"/>
      <c r="F79" s="6" t="s">
        <v>2362</v>
      </c>
      <c r="G79" s="6" t="n">
        <v>0</v>
      </c>
    </row>
    <row r="80" customFormat="false" ht="23.85" hidden="false" customHeight="false" outlineLevel="0" collapsed="false">
      <c r="A80" s="37" t="n">
        <v>46433</v>
      </c>
      <c r="B80" s="38" t="s">
        <v>1313</v>
      </c>
      <c r="C80" s="6" t="s">
        <v>1314</v>
      </c>
      <c r="D80" s="6" t="s">
        <v>1302</v>
      </c>
      <c r="E80" s="6"/>
      <c r="F80" s="6" t="s">
        <v>2362</v>
      </c>
      <c r="G80" s="6" t="n">
        <v>0</v>
      </c>
    </row>
    <row r="81" customFormat="false" ht="23.85" hidden="false" customHeight="false" outlineLevel="0" collapsed="false">
      <c r="A81" s="37" t="n">
        <v>46434</v>
      </c>
      <c r="B81" s="38" t="s">
        <v>1329</v>
      </c>
      <c r="C81" s="6" t="s">
        <v>1330</v>
      </c>
      <c r="D81" s="6" t="s">
        <v>1318</v>
      </c>
      <c r="E81" s="6"/>
      <c r="F81" s="6" t="s">
        <v>2362</v>
      </c>
      <c r="G81" s="6" t="n">
        <v>0</v>
      </c>
    </row>
    <row r="82" customFormat="false" ht="23.85" hidden="false" customHeight="false" outlineLevel="0" collapsed="false">
      <c r="A82" s="37" t="n">
        <v>46435</v>
      </c>
      <c r="B82" s="38" t="s">
        <v>1342</v>
      </c>
      <c r="C82" s="6" t="s">
        <v>1343</v>
      </c>
      <c r="D82" s="6" t="s">
        <v>1332</v>
      </c>
      <c r="E82" s="6"/>
      <c r="F82" s="6" t="s">
        <v>2362</v>
      </c>
      <c r="G82" s="6" t="n">
        <v>0</v>
      </c>
    </row>
    <row r="83" customFormat="false" ht="23.85" hidden="false" customHeight="false" outlineLevel="0" collapsed="false">
      <c r="A83" s="37" t="n">
        <v>46436</v>
      </c>
      <c r="B83" s="38" t="s">
        <v>1359</v>
      </c>
      <c r="C83" s="6" t="s">
        <v>1360</v>
      </c>
      <c r="D83" s="6" t="s">
        <v>1348</v>
      </c>
      <c r="E83" s="6"/>
      <c r="F83" s="6" t="s">
        <v>2362</v>
      </c>
      <c r="G83" s="6" t="n">
        <v>0</v>
      </c>
    </row>
    <row r="84" customFormat="false" ht="23.85" hidden="false" customHeight="false" outlineLevel="0" collapsed="false">
      <c r="A84" s="37" t="n">
        <v>46437</v>
      </c>
      <c r="B84" s="38" t="s">
        <v>1376</v>
      </c>
      <c r="C84" s="6" t="s">
        <v>1377</v>
      </c>
      <c r="D84" s="6" t="s">
        <v>1365</v>
      </c>
      <c r="E84" s="6"/>
      <c r="F84" s="6" t="s">
        <v>2362</v>
      </c>
      <c r="G84" s="6" t="n">
        <v>0</v>
      </c>
    </row>
    <row r="85" customFormat="false" ht="23.85" hidden="false" customHeight="false" outlineLevel="0" collapsed="false">
      <c r="A85" s="37" t="n">
        <v>46440</v>
      </c>
      <c r="B85" s="38" t="s">
        <v>1390</v>
      </c>
      <c r="C85" s="6" t="s">
        <v>1391</v>
      </c>
      <c r="D85" s="6" t="s">
        <v>1379</v>
      </c>
      <c r="E85" s="6"/>
      <c r="F85" s="6" t="s">
        <v>2362</v>
      </c>
      <c r="G85" s="6" t="n">
        <v>0</v>
      </c>
    </row>
    <row r="86" customFormat="false" ht="23.85" hidden="false" customHeight="false" outlineLevel="0" collapsed="false">
      <c r="A86" s="37" t="n">
        <v>46441</v>
      </c>
      <c r="B86" s="38" t="s">
        <v>1406</v>
      </c>
      <c r="C86" s="6" t="s">
        <v>1407</v>
      </c>
      <c r="D86" s="6" t="s">
        <v>1395</v>
      </c>
      <c r="E86" s="6"/>
      <c r="F86" s="6" t="s">
        <v>2362</v>
      </c>
      <c r="G86" s="6" t="n">
        <v>0</v>
      </c>
    </row>
    <row r="87" customFormat="false" ht="23.85" hidden="false" customHeight="false" outlineLevel="0" collapsed="false">
      <c r="A87" s="37" t="n">
        <v>46442</v>
      </c>
      <c r="B87" s="38" t="s">
        <v>1419</v>
      </c>
      <c r="C87" s="6" t="s">
        <v>1420</v>
      </c>
      <c r="D87" s="6" t="s">
        <v>1409</v>
      </c>
      <c r="E87" s="6"/>
      <c r="F87" s="6" t="s">
        <v>2362</v>
      </c>
      <c r="G87" s="6" t="n">
        <v>0</v>
      </c>
    </row>
    <row r="88" customFormat="false" ht="23.85" hidden="false" customHeight="false" outlineLevel="0" collapsed="false">
      <c r="A88" s="37" t="n">
        <v>46443</v>
      </c>
      <c r="B88" s="38" t="s">
        <v>1436</v>
      </c>
      <c r="C88" s="6" t="s">
        <v>1437</v>
      </c>
      <c r="D88" s="6" t="s">
        <v>1425</v>
      </c>
      <c r="E88" s="6"/>
      <c r="F88" s="6" t="s">
        <v>2362</v>
      </c>
      <c r="G88" s="6" t="n">
        <v>0</v>
      </c>
    </row>
    <row r="89" customFormat="false" ht="23.85" hidden="false" customHeight="false" outlineLevel="0" collapsed="false">
      <c r="A89" s="37" t="n">
        <v>46444</v>
      </c>
      <c r="B89" s="38" t="s">
        <v>1453</v>
      </c>
      <c r="C89" s="6" t="s">
        <v>1454</v>
      </c>
      <c r="D89" s="6" t="s">
        <v>1442</v>
      </c>
      <c r="E89" s="6"/>
      <c r="F89" s="6" t="s">
        <v>2362</v>
      </c>
      <c r="G89" s="6" t="n">
        <v>0</v>
      </c>
    </row>
    <row r="90" customFormat="false" ht="23.85" hidden="false" customHeight="false" outlineLevel="0" collapsed="false">
      <c r="A90" s="37" t="n">
        <v>46447</v>
      </c>
      <c r="B90" s="38" t="s">
        <v>1469</v>
      </c>
      <c r="C90" s="6" t="s">
        <v>1470</v>
      </c>
      <c r="D90" s="6" t="s">
        <v>1458</v>
      </c>
      <c r="E90" s="6"/>
      <c r="F90" s="6" t="s">
        <v>2362</v>
      </c>
      <c r="G90" s="6" t="n">
        <v>0</v>
      </c>
    </row>
    <row r="91" customFormat="false" ht="23.85" hidden="false" customHeight="false" outlineLevel="0" collapsed="false">
      <c r="A91" s="37" t="n">
        <v>46448</v>
      </c>
      <c r="B91" s="38" t="s">
        <v>1485</v>
      </c>
      <c r="C91" s="6" t="s">
        <v>1486</v>
      </c>
      <c r="D91" s="6" t="s">
        <v>1474</v>
      </c>
      <c r="E91" s="6"/>
      <c r="F91" s="6" t="s">
        <v>2362</v>
      </c>
      <c r="G91" s="6" t="n">
        <v>0</v>
      </c>
    </row>
    <row r="92" customFormat="false" ht="15" hidden="false" customHeight="false" outlineLevel="0" collapsed="false">
      <c r="A92" s="37" t="n">
        <v>46449</v>
      </c>
      <c r="B92" s="38" t="s">
        <v>1498</v>
      </c>
      <c r="C92" s="6" t="s">
        <v>1499</v>
      </c>
      <c r="D92" s="6" t="s">
        <v>1488</v>
      </c>
      <c r="E92" s="6"/>
      <c r="F92" s="6" t="s">
        <v>2362</v>
      </c>
      <c r="G92" s="6" t="n">
        <v>0</v>
      </c>
    </row>
    <row r="93" customFormat="false" ht="23.85" hidden="false" customHeight="false" outlineLevel="0" collapsed="false">
      <c r="A93" s="37" t="n">
        <v>46450</v>
      </c>
      <c r="B93" s="38" t="s">
        <v>1515</v>
      </c>
      <c r="C93" s="6" t="s">
        <v>1516</v>
      </c>
      <c r="D93" s="6" t="s">
        <v>1504</v>
      </c>
      <c r="E93" s="6"/>
      <c r="F93" s="6" t="s">
        <v>2362</v>
      </c>
      <c r="G93" s="6" t="n">
        <v>0</v>
      </c>
    </row>
    <row r="94" customFormat="false" ht="23.85" hidden="false" customHeight="false" outlineLevel="0" collapsed="false">
      <c r="A94" s="37" t="n">
        <v>46451</v>
      </c>
      <c r="B94" s="38" t="s">
        <v>1532</v>
      </c>
      <c r="C94" s="6" t="s">
        <v>1533</v>
      </c>
      <c r="D94" s="6" t="s">
        <v>1521</v>
      </c>
      <c r="E94" s="6"/>
      <c r="F94" s="6" t="s">
        <v>2362</v>
      </c>
      <c r="G94" s="6" t="n">
        <v>0</v>
      </c>
    </row>
    <row r="95" customFormat="false" ht="23.85" hidden="false" customHeight="false" outlineLevel="0" collapsed="false">
      <c r="A95" s="37" t="n">
        <v>46454</v>
      </c>
      <c r="B95" s="38" t="s">
        <v>1546</v>
      </c>
      <c r="C95" s="6" t="s">
        <v>1547</v>
      </c>
      <c r="D95" s="6" t="s">
        <v>1535</v>
      </c>
      <c r="E95" s="6"/>
      <c r="F95" s="6" t="s">
        <v>2362</v>
      </c>
      <c r="G95" s="6" t="n">
        <v>0</v>
      </c>
    </row>
    <row r="96" customFormat="false" ht="23.85" hidden="false" customHeight="false" outlineLevel="0" collapsed="false">
      <c r="A96" s="37" t="n">
        <v>46455</v>
      </c>
      <c r="B96" s="38" t="s">
        <v>1563</v>
      </c>
      <c r="C96" s="6" t="s">
        <v>1564</v>
      </c>
      <c r="D96" s="6" t="s">
        <v>1552</v>
      </c>
      <c r="E96" s="6"/>
      <c r="F96" s="6" t="s">
        <v>2362</v>
      </c>
      <c r="G96" s="6" t="n">
        <v>0</v>
      </c>
    </row>
    <row r="97" customFormat="false" ht="23.85" hidden="false" customHeight="false" outlineLevel="0" collapsed="false">
      <c r="A97" s="37" t="n">
        <v>46456</v>
      </c>
      <c r="B97" s="38" t="s">
        <v>1576</v>
      </c>
      <c r="C97" s="6" t="s">
        <v>1577</v>
      </c>
      <c r="D97" s="6" t="s">
        <v>1566</v>
      </c>
      <c r="E97" s="6"/>
      <c r="F97" s="6" t="s">
        <v>2362</v>
      </c>
      <c r="G97" s="6" t="n">
        <v>0</v>
      </c>
    </row>
    <row r="98" customFormat="false" ht="23.85" hidden="false" customHeight="false" outlineLevel="0" collapsed="false">
      <c r="A98" s="37" t="n">
        <v>46457</v>
      </c>
      <c r="B98" s="38" t="s">
        <v>1593</v>
      </c>
      <c r="C98" s="6" t="s">
        <v>1594</v>
      </c>
      <c r="D98" s="6" t="s">
        <v>1582</v>
      </c>
      <c r="E98" s="6"/>
      <c r="F98" s="6" t="s">
        <v>2362</v>
      </c>
      <c r="G98" s="6" t="n">
        <v>0</v>
      </c>
    </row>
    <row r="99" customFormat="false" ht="23.85" hidden="false" customHeight="false" outlineLevel="0" collapsed="false">
      <c r="A99" s="37" t="n">
        <v>46458</v>
      </c>
      <c r="B99" s="38" t="s">
        <v>1610</v>
      </c>
      <c r="C99" s="6" t="s">
        <v>1611</v>
      </c>
      <c r="D99" s="6" t="s">
        <v>1599</v>
      </c>
      <c r="E99" s="6"/>
      <c r="F99" s="6" t="s">
        <v>2362</v>
      </c>
      <c r="G99" s="6" t="n">
        <v>0</v>
      </c>
    </row>
    <row r="100" customFormat="false" ht="23.85" hidden="false" customHeight="false" outlineLevel="0" collapsed="false">
      <c r="A100" s="37" t="n">
        <v>46461</v>
      </c>
      <c r="B100" s="38" t="s">
        <v>1624</v>
      </c>
      <c r="C100" s="6" t="s">
        <v>1625</v>
      </c>
      <c r="D100" s="6" t="s">
        <v>1613</v>
      </c>
      <c r="E100" s="6"/>
      <c r="F100" s="6" t="s">
        <v>2362</v>
      </c>
      <c r="G100" s="6" t="n">
        <v>0</v>
      </c>
    </row>
    <row r="101" customFormat="false" ht="23.85" hidden="false" customHeight="false" outlineLevel="0" collapsed="false">
      <c r="A101" s="37" t="n">
        <v>46462</v>
      </c>
      <c r="B101" s="38" t="s">
        <v>1640</v>
      </c>
      <c r="C101" s="6" t="s">
        <v>1641</v>
      </c>
      <c r="D101" s="6" t="s">
        <v>1629</v>
      </c>
      <c r="E101" s="6"/>
      <c r="F101" s="6" t="s">
        <v>2362</v>
      </c>
      <c r="G101" s="6" t="n">
        <v>0</v>
      </c>
    </row>
    <row r="102" customFormat="false" ht="15" hidden="false" customHeight="false" outlineLevel="0" collapsed="false">
      <c r="A102" s="37" t="n">
        <v>46463</v>
      </c>
      <c r="B102" s="38" t="s">
        <v>1653</v>
      </c>
      <c r="C102" s="6" t="s">
        <v>1654</v>
      </c>
      <c r="D102" s="6" t="s">
        <v>1643</v>
      </c>
      <c r="E102" s="6"/>
      <c r="F102" s="6" t="s">
        <v>2362</v>
      </c>
      <c r="G102" s="6" t="n">
        <v>0</v>
      </c>
    </row>
    <row r="103" customFormat="false" ht="23.85" hidden="false" customHeight="false" outlineLevel="0" collapsed="false">
      <c r="A103" s="37" t="n">
        <v>46464</v>
      </c>
      <c r="B103" s="38" t="s">
        <v>1670</v>
      </c>
      <c r="C103" s="6" t="s">
        <v>1671</v>
      </c>
      <c r="D103" s="6" t="s">
        <v>1659</v>
      </c>
      <c r="E103" s="6"/>
      <c r="F103" s="6" t="s">
        <v>2362</v>
      </c>
      <c r="G103" s="6" t="n">
        <v>0</v>
      </c>
    </row>
    <row r="104" customFormat="false" ht="23.85" hidden="false" customHeight="false" outlineLevel="0" collapsed="false">
      <c r="A104" s="37" t="n">
        <v>46465</v>
      </c>
      <c r="B104" s="38" t="s">
        <v>1687</v>
      </c>
      <c r="C104" s="6" t="s">
        <v>1688</v>
      </c>
      <c r="D104" s="6" t="s">
        <v>1676</v>
      </c>
      <c r="E104" s="6"/>
      <c r="F104" s="6" t="s">
        <v>2362</v>
      </c>
      <c r="G104" s="6" t="n">
        <v>0</v>
      </c>
    </row>
    <row r="105" customFormat="false" ht="23.85" hidden="false" customHeight="false" outlineLevel="0" collapsed="false">
      <c r="A105" s="37" t="n">
        <v>46468</v>
      </c>
      <c r="B105" s="38" t="s">
        <v>1701</v>
      </c>
      <c r="C105" s="6" t="s">
        <v>1702</v>
      </c>
      <c r="D105" s="6" t="s">
        <v>1690</v>
      </c>
      <c r="E105" s="6"/>
      <c r="F105" s="6" t="s">
        <v>2362</v>
      </c>
      <c r="G105" s="6" t="n">
        <v>0</v>
      </c>
    </row>
    <row r="106" customFormat="false" ht="23.85" hidden="false" customHeight="false" outlineLevel="0" collapsed="false">
      <c r="A106" s="37" t="n">
        <v>46469</v>
      </c>
      <c r="B106" s="38" t="s">
        <v>1718</v>
      </c>
      <c r="C106" s="6" t="s">
        <v>1719</v>
      </c>
      <c r="D106" s="6" t="s">
        <v>1707</v>
      </c>
      <c r="E106" s="6"/>
      <c r="F106" s="6" t="s">
        <v>2362</v>
      </c>
      <c r="G106" s="6" t="n">
        <v>0</v>
      </c>
    </row>
    <row r="107" customFormat="false" ht="15" hidden="false" customHeight="false" outlineLevel="0" collapsed="false">
      <c r="A107" s="37" t="n">
        <v>46470</v>
      </c>
      <c r="B107" s="38" t="s">
        <v>1731</v>
      </c>
      <c r="C107" s="6" t="s">
        <v>1732</v>
      </c>
      <c r="D107" s="6" t="s">
        <v>1721</v>
      </c>
      <c r="E107" s="6"/>
      <c r="F107" s="6" t="s">
        <v>2362</v>
      </c>
      <c r="G107" s="6" t="n">
        <v>0</v>
      </c>
    </row>
    <row r="108" customFormat="false" ht="23.85" hidden="false" customHeight="false" outlineLevel="0" collapsed="false">
      <c r="A108" s="37" t="n">
        <v>46471</v>
      </c>
      <c r="B108" s="38" t="s">
        <v>1748</v>
      </c>
      <c r="C108" s="6" t="s">
        <v>1749</v>
      </c>
      <c r="D108" s="6" t="s">
        <v>1737</v>
      </c>
      <c r="E108" s="6"/>
      <c r="F108" s="6" t="s">
        <v>2362</v>
      </c>
      <c r="G108" s="6" t="n">
        <v>0</v>
      </c>
    </row>
    <row r="109" customFormat="false" ht="23.85" hidden="false" customHeight="false" outlineLevel="0" collapsed="false">
      <c r="A109" s="37" t="n">
        <v>46472</v>
      </c>
      <c r="B109" s="38" t="s">
        <v>1765</v>
      </c>
      <c r="C109" s="6" t="s">
        <v>1766</v>
      </c>
      <c r="D109" s="6" t="s">
        <v>1754</v>
      </c>
      <c r="E109" s="6"/>
      <c r="F109" s="6" t="s">
        <v>2362</v>
      </c>
      <c r="G109" s="6" t="n">
        <v>0</v>
      </c>
    </row>
    <row r="110" customFormat="false" ht="23.85" hidden="false" customHeight="false" outlineLevel="0" collapsed="false">
      <c r="A110" s="37" t="n">
        <v>46475</v>
      </c>
      <c r="B110" s="38" t="s">
        <v>1779</v>
      </c>
      <c r="C110" s="6" t="s">
        <v>1780</v>
      </c>
      <c r="D110" s="6" t="s">
        <v>1768</v>
      </c>
      <c r="E110" s="6"/>
      <c r="F110" s="6" t="s">
        <v>2362</v>
      </c>
      <c r="G110" s="6" t="n">
        <v>0</v>
      </c>
    </row>
    <row r="111" customFormat="false" ht="23.85" hidden="false" customHeight="false" outlineLevel="0" collapsed="false">
      <c r="A111" s="37" t="n">
        <v>46476</v>
      </c>
      <c r="B111" s="38" t="s">
        <v>1795</v>
      </c>
      <c r="C111" s="6" t="s">
        <v>1796</v>
      </c>
      <c r="D111" s="6" t="s">
        <v>1784</v>
      </c>
      <c r="E111" s="6"/>
      <c r="F111" s="6" t="s">
        <v>2362</v>
      </c>
      <c r="G111" s="6" t="n">
        <v>0</v>
      </c>
    </row>
    <row r="112" customFormat="false" ht="23.85" hidden="false" customHeight="false" outlineLevel="0" collapsed="false">
      <c r="A112" s="37" t="n">
        <v>46477</v>
      </c>
      <c r="B112" s="38" t="s">
        <v>1808</v>
      </c>
      <c r="C112" s="6" t="s">
        <v>1809</v>
      </c>
      <c r="D112" s="6" t="s">
        <v>1798</v>
      </c>
      <c r="E112" s="6"/>
      <c r="F112" s="6" t="s">
        <v>2362</v>
      </c>
      <c r="G112" s="6" t="n">
        <v>0</v>
      </c>
    </row>
    <row r="113" customFormat="false" ht="23.85" hidden="false" customHeight="false" outlineLevel="0" collapsed="false">
      <c r="A113" s="37" t="n">
        <v>46478</v>
      </c>
      <c r="B113" s="38" t="s">
        <v>1827</v>
      </c>
      <c r="C113" s="6" t="s">
        <v>1828</v>
      </c>
      <c r="D113" s="6" t="s">
        <v>1816</v>
      </c>
      <c r="E113" s="6"/>
      <c r="F113" s="6" t="s">
        <v>2362</v>
      </c>
      <c r="G113" s="6" t="n">
        <v>0</v>
      </c>
    </row>
    <row r="114" customFormat="false" ht="23.85" hidden="false" customHeight="false" outlineLevel="0" collapsed="false">
      <c r="A114" s="37" t="n">
        <v>46479</v>
      </c>
      <c r="B114" s="38" t="s">
        <v>1844</v>
      </c>
      <c r="C114" s="6" t="s">
        <v>1845</v>
      </c>
      <c r="D114" s="6" t="s">
        <v>1833</v>
      </c>
      <c r="E114" s="6"/>
      <c r="F114" s="6" t="s">
        <v>2362</v>
      </c>
      <c r="G114" s="6" t="n">
        <v>0</v>
      </c>
    </row>
    <row r="115" customFormat="false" ht="23.85" hidden="false" customHeight="false" outlineLevel="0" collapsed="false">
      <c r="A115" s="37" t="n">
        <v>46482</v>
      </c>
      <c r="B115" s="38" t="s">
        <v>1858</v>
      </c>
      <c r="C115" s="6" t="s">
        <v>1859</v>
      </c>
      <c r="D115" s="6" t="s">
        <v>1847</v>
      </c>
      <c r="E115" s="6"/>
      <c r="F115" s="6" t="s">
        <v>2362</v>
      </c>
      <c r="G115" s="6" t="n">
        <v>0</v>
      </c>
    </row>
    <row r="116" customFormat="false" ht="23.85" hidden="false" customHeight="false" outlineLevel="0" collapsed="false">
      <c r="A116" s="37" t="n">
        <v>46483</v>
      </c>
      <c r="B116" s="38" t="s">
        <v>1874</v>
      </c>
      <c r="C116" s="6" t="s">
        <v>1875</v>
      </c>
      <c r="D116" s="6" t="s">
        <v>1863</v>
      </c>
      <c r="E116" s="6"/>
      <c r="F116" s="6" t="s">
        <v>2362</v>
      </c>
      <c r="G116" s="6" t="n">
        <v>0</v>
      </c>
    </row>
    <row r="117" customFormat="false" ht="15" hidden="false" customHeight="false" outlineLevel="0" collapsed="false">
      <c r="A117" s="37" t="n">
        <v>46484</v>
      </c>
      <c r="B117" s="38" t="s">
        <v>1887</v>
      </c>
      <c r="C117" s="6" t="s">
        <v>1888</v>
      </c>
      <c r="D117" s="6" t="s">
        <v>1877</v>
      </c>
      <c r="E117" s="6"/>
      <c r="F117" s="6" t="s">
        <v>2362</v>
      </c>
      <c r="G117" s="6" t="n">
        <v>0</v>
      </c>
    </row>
    <row r="118" customFormat="false" ht="23.85" hidden="false" customHeight="false" outlineLevel="0" collapsed="false">
      <c r="A118" s="37" t="n">
        <v>46485</v>
      </c>
      <c r="B118" s="38" t="s">
        <v>1904</v>
      </c>
      <c r="C118" s="6" t="s">
        <v>1905</v>
      </c>
      <c r="D118" s="6" t="s">
        <v>1893</v>
      </c>
      <c r="E118" s="6"/>
      <c r="F118" s="6" t="s">
        <v>2362</v>
      </c>
      <c r="G118" s="6" t="n">
        <v>0</v>
      </c>
    </row>
    <row r="119" customFormat="false" ht="23.85" hidden="false" customHeight="false" outlineLevel="0" collapsed="false">
      <c r="A119" s="37" t="n">
        <v>46486</v>
      </c>
      <c r="B119" s="38" t="s">
        <v>1921</v>
      </c>
      <c r="C119" s="6" t="s">
        <v>1922</v>
      </c>
      <c r="D119" s="6" t="s">
        <v>1910</v>
      </c>
      <c r="E119" s="6"/>
      <c r="F119" s="6" t="s">
        <v>2362</v>
      </c>
      <c r="G119" s="6" t="n">
        <v>0</v>
      </c>
    </row>
    <row r="120" customFormat="false" ht="23.85" hidden="false" customHeight="false" outlineLevel="0" collapsed="false">
      <c r="A120" s="37" t="n">
        <v>46489</v>
      </c>
      <c r="B120" s="38" t="s">
        <v>1935</v>
      </c>
      <c r="C120" s="6" t="s">
        <v>1936</v>
      </c>
      <c r="D120" s="6" t="s">
        <v>1924</v>
      </c>
      <c r="E120" s="6"/>
      <c r="F120" s="6" t="s">
        <v>2362</v>
      </c>
      <c r="G120" s="6" t="n">
        <v>0</v>
      </c>
    </row>
    <row r="121" customFormat="false" ht="23.85" hidden="false" customHeight="false" outlineLevel="0" collapsed="false">
      <c r="A121" s="37" t="n">
        <v>46490</v>
      </c>
      <c r="B121" s="38" t="s">
        <v>1951</v>
      </c>
      <c r="C121" s="6" t="s">
        <v>1952</v>
      </c>
      <c r="D121" s="6" t="s">
        <v>1940</v>
      </c>
      <c r="E121" s="6"/>
      <c r="F121" s="6" t="s">
        <v>2362</v>
      </c>
      <c r="G121" s="6" t="n">
        <v>0</v>
      </c>
    </row>
    <row r="122" customFormat="false" ht="15" hidden="false" customHeight="false" outlineLevel="0" collapsed="false">
      <c r="A122" s="37" t="n">
        <v>46491</v>
      </c>
      <c r="B122" s="38" t="s">
        <v>1964</v>
      </c>
      <c r="C122" s="6" t="s">
        <v>1965</v>
      </c>
      <c r="D122" s="6" t="s">
        <v>1954</v>
      </c>
      <c r="E122" s="6"/>
      <c r="F122" s="6" t="s">
        <v>2362</v>
      </c>
      <c r="G122" s="6" t="n">
        <v>0</v>
      </c>
    </row>
    <row r="123" customFormat="false" ht="23.85" hidden="false" customHeight="false" outlineLevel="0" collapsed="false">
      <c r="A123" s="37" t="n">
        <v>46492</v>
      </c>
      <c r="B123" s="38" t="s">
        <v>1981</v>
      </c>
      <c r="C123" s="6" t="s">
        <v>1982</v>
      </c>
      <c r="D123" s="6" t="s">
        <v>1970</v>
      </c>
      <c r="E123" s="6"/>
      <c r="F123" s="6" t="s">
        <v>2362</v>
      </c>
      <c r="G123" s="6" t="n">
        <v>0</v>
      </c>
    </row>
    <row r="124" customFormat="false" ht="23.85" hidden="false" customHeight="false" outlineLevel="0" collapsed="false">
      <c r="A124" s="37" t="n">
        <v>46493</v>
      </c>
      <c r="B124" s="38" t="s">
        <v>1998</v>
      </c>
      <c r="C124" s="6" t="s">
        <v>1999</v>
      </c>
      <c r="D124" s="6" t="s">
        <v>1987</v>
      </c>
      <c r="E124" s="6"/>
      <c r="F124" s="6" t="s">
        <v>2362</v>
      </c>
      <c r="G124" s="6" t="n">
        <v>0</v>
      </c>
    </row>
    <row r="125" customFormat="false" ht="23.85" hidden="false" customHeight="false" outlineLevel="0" collapsed="false">
      <c r="A125" s="37" t="n">
        <v>46496</v>
      </c>
      <c r="B125" s="38" t="s">
        <v>2012</v>
      </c>
      <c r="C125" s="6" t="s">
        <v>2013</v>
      </c>
      <c r="D125" s="6" t="s">
        <v>2001</v>
      </c>
      <c r="E125" s="6"/>
      <c r="F125" s="6" t="s">
        <v>2362</v>
      </c>
      <c r="G125" s="6" t="n">
        <v>0</v>
      </c>
    </row>
    <row r="126" customFormat="false" ht="23.85" hidden="false" customHeight="false" outlineLevel="0" collapsed="false">
      <c r="A126" s="37" t="n">
        <v>46497</v>
      </c>
      <c r="B126" s="38" t="s">
        <v>2028</v>
      </c>
      <c r="C126" s="6" t="s">
        <v>2029</v>
      </c>
      <c r="D126" s="6" t="s">
        <v>2017</v>
      </c>
      <c r="E126" s="6"/>
      <c r="F126" s="6" t="s">
        <v>2362</v>
      </c>
      <c r="G126" s="6" t="n">
        <v>0</v>
      </c>
    </row>
    <row r="127" customFormat="false" ht="23.85" hidden="false" customHeight="false" outlineLevel="0" collapsed="false">
      <c r="A127" s="37" t="n">
        <v>46498</v>
      </c>
      <c r="B127" s="38" t="s">
        <v>2041</v>
      </c>
      <c r="C127" s="6" t="s">
        <v>2042</v>
      </c>
      <c r="D127" s="6" t="s">
        <v>2031</v>
      </c>
      <c r="E127" s="6"/>
      <c r="F127" s="6" t="s">
        <v>2362</v>
      </c>
      <c r="G127" s="6" t="n">
        <v>0</v>
      </c>
    </row>
    <row r="128" customFormat="false" ht="15" hidden="false" customHeight="false" outlineLevel="0" collapsed="false">
      <c r="A128" s="37" t="n">
        <v>46499</v>
      </c>
      <c r="B128" s="38" t="s">
        <v>2058</v>
      </c>
      <c r="C128" s="6" t="s">
        <v>2059</v>
      </c>
      <c r="D128" s="6" t="s">
        <v>2047</v>
      </c>
      <c r="E128" s="6"/>
      <c r="F128" s="6" t="s">
        <v>2362</v>
      </c>
      <c r="G128" s="6" t="n">
        <v>0</v>
      </c>
    </row>
    <row r="129" customFormat="false" ht="23.85" hidden="false" customHeight="false" outlineLevel="0" collapsed="false">
      <c r="A129" s="37" t="n">
        <v>46500</v>
      </c>
      <c r="B129" s="38" t="s">
        <v>2075</v>
      </c>
      <c r="C129" s="6" t="s">
        <v>2076</v>
      </c>
      <c r="D129" s="6" t="s">
        <v>2064</v>
      </c>
      <c r="E129" s="6"/>
      <c r="F129" s="6" t="s">
        <v>2362</v>
      </c>
      <c r="G129" s="6" t="n">
        <v>0</v>
      </c>
    </row>
    <row r="130" customFormat="false" ht="23.85" hidden="false" customHeight="false" outlineLevel="0" collapsed="false">
      <c r="A130" s="37" t="n">
        <v>46503</v>
      </c>
      <c r="B130" s="38" t="s">
        <v>2089</v>
      </c>
      <c r="C130" s="6" t="s">
        <v>2090</v>
      </c>
      <c r="D130" s="6" t="s">
        <v>2078</v>
      </c>
      <c r="E130" s="6"/>
      <c r="F130" s="6" t="s">
        <v>2362</v>
      </c>
      <c r="G130" s="6" t="n">
        <v>0</v>
      </c>
    </row>
    <row r="131" customFormat="false" ht="23.85" hidden="false" customHeight="false" outlineLevel="0" collapsed="false">
      <c r="A131" s="37" t="n">
        <v>46504</v>
      </c>
      <c r="B131" s="38" t="s">
        <v>2105</v>
      </c>
      <c r="C131" s="6" t="s">
        <v>2106</v>
      </c>
      <c r="D131" s="6" t="s">
        <v>2094</v>
      </c>
      <c r="E131" s="6"/>
      <c r="F131" s="6" t="s">
        <v>2362</v>
      </c>
      <c r="G131" s="6" t="n">
        <v>0</v>
      </c>
    </row>
    <row r="132" customFormat="false" ht="23.85" hidden="false" customHeight="false" outlineLevel="0" collapsed="false">
      <c r="A132" s="37" t="n">
        <v>46505</v>
      </c>
      <c r="B132" s="38" t="s">
        <v>2118</v>
      </c>
      <c r="C132" s="6" t="s">
        <v>2119</v>
      </c>
      <c r="D132" s="6" t="s">
        <v>2108</v>
      </c>
      <c r="E132" s="6"/>
      <c r="F132" s="6" t="s">
        <v>2362</v>
      </c>
      <c r="G132" s="6" t="n">
        <v>0</v>
      </c>
    </row>
    <row r="133" customFormat="false" ht="23.85" hidden="false" customHeight="false" outlineLevel="0" collapsed="false">
      <c r="A133" s="37" t="n">
        <v>46506</v>
      </c>
      <c r="B133" s="38" t="s">
        <v>2135</v>
      </c>
      <c r="C133" s="6" t="s">
        <v>2136</v>
      </c>
      <c r="D133" s="6" t="s">
        <v>2124</v>
      </c>
      <c r="E133" s="6"/>
      <c r="F133" s="6" t="s">
        <v>2362</v>
      </c>
      <c r="G133" s="6" t="n">
        <v>0</v>
      </c>
    </row>
    <row r="134" customFormat="false" ht="23.85" hidden="false" customHeight="false" outlineLevel="0" collapsed="false">
      <c r="A134" s="37" t="n">
        <v>46507</v>
      </c>
      <c r="B134" s="38" t="s">
        <v>2152</v>
      </c>
      <c r="C134" s="6" t="s">
        <v>2153</v>
      </c>
      <c r="D134" s="6" t="s">
        <v>2141</v>
      </c>
      <c r="E134" s="6"/>
      <c r="F134" s="6" t="s">
        <v>2362</v>
      </c>
      <c r="G134" s="6" t="n">
        <v>0</v>
      </c>
    </row>
    <row r="135" customFormat="false" ht="15" hidden="false" customHeight="false" outlineLevel="0" collapsed="false">
      <c r="F135" s="5" t="s">
        <v>2363</v>
      </c>
      <c r="G135" s="5" t="n">
        <f aca="false">SUM(G5:G134)</f>
        <v>0</v>
      </c>
    </row>
  </sheetData>
  <dataValidations count="1">
    <dataValidation allowBlank="true" errorStyle="stop" operator="between" showDropDown="false" showErrorMessage="false" showInputMessage="false" sqref="F5:F134" type="list">
      <formula1>"No,Drafted,Yes"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2026-10-29T14:40:42Z</dcterms:created>
  <dc:creator>openpyxl</dc:creator>
  <dc:description/>
  <dc:language>en-US</dc:language>
  <cp:lastModifiedBy/>
  <dcterms:modified xsi:type="dcterms:W3CDTF">2026-10-29T14:40:42Z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